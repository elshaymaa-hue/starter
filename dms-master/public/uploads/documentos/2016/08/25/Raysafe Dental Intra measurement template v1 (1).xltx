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workbookPr codeName="ThisWorkbook" defaultThemeVersion="124226"/>
  <bookViews>
    <workbookView xWindow="120" yWindow="75" windowWidth="15180" windowHeight="11640"/>
  </bookViews>
  <sheets>
    <sheet name="Data" sheetId="1" r:id="rId1"/>
    <sheet name="Report" sheetId="2" r:id="rId2"/>
  </sheets>
  <definedNames>
    <definedName name="DoseReproTol">5</definedName>
    <definedName name="kVpAccTol">5</definedName>
    <definedName name="kVpReproTol">5</definedName>
    <definedName name="_xlnm.Print_Area" localSheetId="1">Report!$A$1:$I$70</definedName>
    <definedName name="Technique_kVp">Report!$C$20</definedName>
    <definedName name="TimerAccTol">5</definedName>
  </definedNames>
  <calcPr calcId="145621"/>
</workbook>
</file>

<file path=xl/calcChain.xml><?xml version="1.0" encoding="utf-8"?>
<calcChain xmlns="http://schemas.openxmlformats.org/spreadsheetml/2006/main">
  <c r="B4" i="1" l="1"/>
  <c r="D35" i="2" l="1"/>
  <c r="F45" i="2" l="1"/>
  <c r="C20" i="2"/>
  <c r="G45" i="2" l="1"/>
  <c r="G49" i="2"/>
  <c r="G48" i="2"/>
  <c r="G47" i="2"/>
  <c r="G46" i="2"/>
  <c r="B51" i="2"/>
  <c r="D51" i="2" s="1"/>
  <c r="B45" i="2"/>
  <c r="B46" i="2"/>
  <c r="B47" i="2"/>
  <c r="B48" i="2"/>
  <c r="B49" i="2"/>
  <c r="B50" i="2"/>
  <c r="C50" i="2" s="1"/>
  <c r="A59" i="2"/>
  <c r="A58" i="2"/>
  <c r="A57" i="2"/>
  <c r="A56" i="2"/>
  <c r="A55" i="2"/>
  <c r="A50" i="2"/>
  <c r="H45" i="2" l="1"/>
  <c r="I45" i="2" s="1"/>
  <c r="D50" i="2"/>
  <c r="C51" i="2"/>
  <c r="A51" i="2"/>
  <c r="A45" i="2"/>
  <c r="C8" i="1"/>
  <c r="D8" i="1"/>
  <c r="F54" i="2"/>
  <c r="O8" i="2"/>
  <c r="C55" i="2"/>
  <c r="D4" i="1"/>
  <c r="D5" i="1"/>
  <c r="D6" i="1"/>
  <c r="D7" i="1"/>
  <c r="A41" i="2"/>
  <c r="A37" i="2"/>
  <c r="A38" i="2"/>
  <c r="A39" i="2"/>
  <c r="A40" i="2"/>
  <c r="B7" i="1"/>
  <c r="A33" i="2" s="1"/>
  <c r="B29" i="2"/>
  <c r="B30" i="2"/>
  <c r="B31" i="2"/>
  <c r="B32" i="2"/>
  <c r="B33" i="2"/>
  <c r="H39" i="2"/>
  <c r="H37" i="2"/>
  <c r="H30" i="2"/>
  <c r="A30" i="2"/>
  <c r="D9" i="1"/>
  <c r="C9" i="1"/>
  <c r="B5" i="1"/>
  <c r="A31" i="2" s="1"/>
  <c r="B6" i="1"/>
  <c r="A48" i="2" s="1"/>
  <c r="C48" i="2" s="1"/>
  <c r="D48" i="2" s="1"/>
  <c r="C7" i="1"/>
  <c r="C5" i="1"/>
  <c r="C6" i="1"/>
  <c r="C4" i="1"/>
  <c r="A29" i="2"/>
  <c r="G20" i="2"/>
  <c r="E20" i="2"/>
  <c r="A32" i="2" l="1"/>
  <c r="H48" i="2"/>
  <c r="I48" i="2" s="1"/>
  <c r="F48" i="2"/>
  <c r="H46" i="2"/>
  <c r="I46" i="2" s="1"/>
  <c r="F46" i="2"/>
  <c r="H49" i="2"/>
  <c r="I49" i="2" s="1"/>
  <c r="F49" i="2"/>
  <c r="H47" i="2"/>
  <c r="I47" i="2" s="1"/>
  <c r="F47" i="2"/>
  <c r="A49" i="2"/>
  <c r="C49" i="2" s="1"/>
  <c r="D49" i="2" s="1"/>
  <c r="A47" i="2"/>
  <c r="C47" i="2" s="1"/>
  <c r="D47" i="2" s="1"/>
  <c r="O10" i="2"/>
  <c r="A46" i="2"/>
  <c r="C46" i="2" s="1"/>
  <c r="D46" i="2" s="1"/>
  <c r="C56" i="2"/>
  <c r="O6" i="2"/>
  <c r="O5" i="2"/>
  <c r="C45" i="2"/>
  <c r="D45" i="2" s="1"/>
  <c r="C32" i="2"/>
  <c r="C30" i="2"/>
  <c r="F29" i="2"/>
  <c r="C58" i="2" s="1"/>
  <c r="C59" i="2" s="1"/>
  <c r="D55" i="2" s="1"/>
  <c r="D37" i="2"/>
  <c r="D38" i="2" s="1"/>
  <c r="G37" i="2" s="1"/>
  <c r="O7" i="2"/>
  <c r="O9" i="2"/>
  <c r="O12" i="2"/>
  <c r="O11" i="2"/>
  <c r="C29" i="2"/>
  <c r="C31" i="2"/>
  <c r="F30" i="2"/>
  <c r="G29" i="2" s="1"/>
  <c r="C33" i="2"/>
</calcChain>
</file>

<file path=xl/comments1.xml><?xml version="1.0" encoding="utf-8"?>
<comments xmlns="http://schemas.openxmlformats.org/spreadsheetml/2006/main">
  <authors>
    <author>Edward A. Brand</author>
  </authors>
  <commentList>
    <comment ref="B3" authorId="0">
      <text>
        <r>
          <rPr>
            <sz val="8"/>
            <color indexed="81"/>
            <rFont val="Tahoma"/>
            <family val="2"/>
          </rPr>
          <t xml:space="preserve">Enter kVp setting.
</t>
        </r>
      </text>
    </comment>
    <comment ref="C3" authorId="0">
      <text>
        <r>
          <rPr>
            <sz val="8"/>
            <color indexed="81"/>
            <rFont val="Tahoma"/>
            <family val="2"/>
          </rPr>
          <t xml:space="preserve">Enter mA setting.
</t>
        </r>
      </text>
    </comment>
    <comment ref="D3" authorId="0">
      <text>
        <r>
          <rPr>
            <sz val="8"/>
            <color indexed="81"/>
            <rFont val="Tahoma"/>
            <family val="2"/>
          </rPr>
          <t>Enter time setting  in milliseconds (ms).</t>
        </r>
      </text>
    </comment>
  </commentList>
</comments>
</file>

<file path=xl/sharedStrings.xml><?xml version="1.0" encoding="utf-8"?>
<sst xmlns="http://schemas.openxmlformats.org/spreadsheetml/2006/main" count="103" uniqueCount="85">
  <si>
    <t>Address</t>
  </si>
  <si>
    <t>City</t>
  </si>
  <si>
    <t>Zip Code</t>
  </si>
  <si>
    <t>State</t>
  </si>
  <si>
    <t>Telephone</t>
  </si>
  <si>
    <t>Location</t>
  </si>
  <si>
    <t>Components</t>
  </si>
  <si>
    <t>Model Number</t>
  </si>
  <si>
    <t>Control</t>
  </si>
  <si>
    <t>Tube Head</t>
  </si>
  <si>
    <t>mA</t>
  </si>
  <si>
    <t>Time</t>
  </si>
  <si>
    <t>kVp</t>
  </si>
  <si>
    <t>Indicated</t>
  </si>
  <si>
    <t>Measured</t>
  </si>
  <si>
    <t>Deviation</t>
  </si>
  <si>
    <t>Dose Avg.=</t>
  </si>
  <si>
    <t>Timer Accuracy</t>
  </si>
  <si>
    <t>Min. HVL in mm Al</t>
  </si>
  <si>
    <t>Performed by:</t>
  </si>
  <si>
    <t>DATA COLLECTION WORKSHEET</t>
  </si>
  <si>
    <t>Set kVp</t>
  </si>
  <si>
    <t>Set mA</t>
  </si>
  <si>
    <t>Exposure #</t>
  </si>
  <si>
    <t>Dose</t>
  </si>
  <si>
    <t>Unit</t>
  </si>
  <si>
    <t>Exp. Time</t>
  </si>
  <si>
    <t>Rate</t>
  </si>
  <si>
    <t>Pulses</t>
  </si>
  <si>
    <t>Technique:</t>
  </si>
  <si>
    <t>Date of Inspection:</t>
  </si>
  <si>
    <t>Dose/Pulse</t>
  </si>
  <si>
    <t>Frame Rate</t>
  </si>
  <si>
    <t>HVL</t>
  </si>
  <si>
    <t>S/N</t>
  </si>
  <si>
    <t>Date</t>
  </si>
  <si>
    <t>Room</t>
  </si>
  <si>
    <t>Set ms</t>
  </si>
  <si>
    <t>kVp Reproducibility</t>
  </si>
  <si>
    <t>Result</t>
  </si>
  <si>
    <t>EQUIPMENT ID#</t>
  </si>
  <si>
    <t>MANUFACTURER:</t>
  </si>
  <si>
    <t>MODEL:</t>
  </si>
  <si>
    <t>kVp Avg. =</t>
  </si>
  <si>
    <t>C.O.V. =</t>
  </si>
  <si>
    <t>kVp Accuracy</t>
  </si>
  <si>
    <t>% Deviation</t>
  </si>
  <si>
    <t>mAs</t>
  </si>
  <si>
    <t>Dental QA Test Report</t>
  </si>
  <si>
    <t>Dose Rep. tolerance=</t>
  </si>
  <si>
    <t>kVp Rep. Tolerance =</t>
  </si>
  <si>
    <t>Tolerance(%):</t>
  </si>
  <si>
    <r>
      <t xml:space="preserve">HVL </t>
    </r>
    <r>
      <rPr>
        <sz val="10"/>
        <rFont val="Arial"/>
        <family val="2"/>
      </rPr>
      <t>(mmAl)</t>
    </r>
  </si>
  <si>
    <t>HVL Avg.=</t>
  </si>
  <si>
    <t>kVp Avg.=</t>
  </si>
  <si>
    <t>Min HVL=</t>
  </si>
  <si>
    <t>HVL data for graph and calculations</t>
  </si>
  <si>
    <t>(This is not a part of the printed report)</t>
  </si>
  <si>
    <t>Model</t>
  </si>
  <si>
    <t>Serial number</t>
  </si>
  <si>
    <t>Calibration date</t>
  </si>
  <si>
    <t>TEST EQUIPMENT</t>
  </si>
  <si>
    <t>Sensor area</t>
  </si>
  <si>
    <t>Trig level</t>
  </si>
  <si>
    <t>Trig delay(ms)</t>
  </si>
  <si>
    <t>kVp delay(ms)</t>
  </si>
  <si>
    <t>Calc delay (ms)</t>
  </si>
  <si>
    <t>Data collection start cell: E3</t>
  </si>
  <si>
    <t>Technique settings for:</t>
  </si>
  <si>
    <t>(Check appropriate items)</t>
  </si>
  <si>
    <t>Average Adult Bitewing</t>
  </si>
  <si>
    <t>Film D</t>
  </si>
  <si>
    <t>Film F</t>
  </si>
  <si>
    <t>Film E</t>
  </si>
  <si>
    <t>Digital Sensor</t>
  </si>
  <si>
    <r>
      <t>Indicated</t>
    </r>
    <r>
      <rPr>
        <i/>
        <sz val="8"/>
        <rFont val="Arial"/>
        <family val="2"/>
      </rPr>
      <t xml:space="preserve"> (s)</t>
    </r>
  </si>
  <si>
    <r>
      <t>Measured</t>
    </r>
    <r>
      <rPr>
        <i/>
        <sz val="8"/>
        <rFont val="Arial"/>
        <family val="2"/>
      </rPr>
      <t xml:space="preserve"> (s)</t>
    </r>
  </si>
  <si>
    <r>
      <t>Time</t>
    </r>
    <r>
      <rPr>
        <i/>
        <sz val="8"/>
        <rFont val="Arial"/>
        <family val="2"/>
      </rPr>
      <t xml:space="preserve"> (ms)</t>
    </r>
  </si>
  <si>
    <t>Panoramic</t>
  </si>
  <si>
    <t>CBCT</t>
  </si>
  <si>
    <t>Ceph.</t>
  </si>
  <si>
    <t>Yellow field = manual input of information</t>
  </si>
  <si>
    <t>Start cell E3 in Data sheet</t>
  </si>
  <si>
    <r>
      <t xml:space="preserve">Dose Reproducibility </t>
    </r>
    <r>
      <rPr>
        <sz val="10"/>
        <rFont val="Arial"/>
        <family val="2"/>
      </rPr>
      <t>dose unit:</t>
    </r>
  </si>
  <si>
    <t>Have to be manually set in Xi View or X2 View so that data comes right in this sheet.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</si>
</sst>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23" x14ac:knownFonts="1">
    <font>
      <sz val="10"/>
      <name val="Arial"/>
    </font>
    <font>
      <sz val="10"/>
      <name val="Arial"/>
      <family val="2"/>
    </font>
    <font>
      <sz val="8"/>
      <name val="Arial"/>
      <family val="2"/>
    </font>
    <font>
      <b/>
      <sz val="10"/>
      <name val="Arial"/>
      <family val="2"/>
    </font>
    <font>
      <sz val="10"/>
      <name val="Arial"/>
      <family val="2"/>
    </font>
    <font>
      <sz val="10"/>
      <color indexed="9"/>
      <name val="Arial"/>
      <family val="2"/>
    </font>
    <font>
      <sz val="10"/>
      <color indexed="9"/>
      <name val="Arial"/>
      <family val="2"/>
    </font>
    <font>
      <b/>
      <sz val="10"/>
      <color indexed="9"/>
      <name val="Arial"/>
      <family val="2"/>
    </font>
    <font>
      <sz val="8"/>
      <color indexed="81"/>
      <name val="Tahoma"/>
      <family val="2"/>
    </font>
    <font>
      <b/>
      <sz val="10"/>
      <color indexed="10"/>
      <name val="Arial"/>
      <family val="2"/>
    </font>
    <font>
      <b/>
      <sz val="16"/>
      <name val="Arial"/>
      <family val="2"/>
    </font>
    <font>
      <b/>
      <sz val="22"/>
      <name val="Arial"/>
      <family val="2"/>
    </font>
    <font>
      <b/>
      <sz val="20"/>
      <name val="Arial"/>
      <family val="2"/>
    </font>
    <font>
      <b/>
      <sz val="9"/>
      <name val="Arial"/>
      <family val="2"/>
    </font>
    <font>
      <b/>
      <sz val="18"/>
      <name val="Arial"/>
      <family val="2"/>
    </font>
    <font>
      <sz val="12"/>
      <name val="Arial"/>
      <family val="2"/>
    </font>
    <font>
      <sz val="14"/>
      <name val="Arial"/>
      <family val="2"/>
    </font>
    <font>
      <sz val="9"/>
      <name val="Arial"/>
      <family val="2"/>
    </font>
    <font>
      <i/>
      <sz val="10"/>
      <name val="Arial"/>
      <family val="2"/>
    </font>
    <font>
      <i/>
      <sz val="8"/>
      <name val="Arial"/>
      <family val="2"/>
    </font>
    <font>
      <sz val="10"/>
      <color theme="1"/>
      <name val="Arial"/>
      <family val="2"/>
    </font>
    <font>
      <sz val="14"/>
      <color theme="1"/>
      <name val="Arial"/>
      <family val="2"/>
    </font>
    <font>
      <b/>
      <sz val="14"/>
      <color rgb="FFFF0000"/>
      <name val="Arial"/>
      <family val="2"/>
    </font>
  </fonts>
  <fills count="8">
    <fill>
      <patternFill patternType="none"/>
    </fill>
    <fill>
      <patternFill patternType="gray125"/>
    </fill>
    <fill>
      <patternFill patternType="solid">
        <fgColor indexed="8"/>
        <bgColor indexed="64"/>
      </patternFill>
    </fill>
    <fill>
      <patternFill patternType="solid">
        <fgColor indexed="9"/>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FF00"/>
        <bgColor indexed="64"/>
      </patternFill>
    </fill>
  </fills>
  <borders count="83">
    <border>
      <left/>
      <right/>
      <top/>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ck">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indexed="64"/>
      </right>
      <top/>
      <bottom/>
      <diagonal/>
    </border>
    <border>
      <left/>
      <right style="thick">
        <color indexed="64"/>
      </right>
      <top/>
      <bottom style="thick">
        <color indexed="64"/>
      </bottom>
      <diagonal/>
    </border>
    <border>
      <left style="thick">
        <color indexed="10"/>
      </left>
      <right/>
      <top style="thick">
        <color indexed="64"/>
      </top>
      <bottom style="thin">
        <color indexed="64"/>
      </bottom>
      <diagonal/>
    </border>
    <border>
      <left/>
      <right style="thin">
        <color indexed="64"/>
      </right>
      <top style="thick">
        <color indexed="64"/>
      </top>
      <bottom style="thin">
        <color indexed="64"/>
      </bottom>
      <diagonal/>
    </border>
    <border>
      <left/>
      <right style="thin">
        <color indexed="64"/>
      </right>
      <top style="thin">
        <color indexed="64"/>
      </top>
      <bottom style="thin">
        <color indexed="64"/>
      </bottom>
      <diagonal/>
    </border>
    <border>
      <left style="thick">
        <color indexed="10"/>
      </left>
      <right/>
      <top style="thin">
        <color indexed="64"/>
      </top>
      <bottom style="thin">
        <color indexed="64"/>
      </bottom>
      <diagonal/>
    </border>
    <border>
      <left style="thin">
        <color indexed="64"/>
      </left>
      <right/>
      <top style="thick">
        <color indexed="64"/>
      </top>
      <bottom style="thin">
        <color indexed="64"/>
      </bottom>
      <diagonal/>
    </border>
    <border>
      <left style="thin">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10"/>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8"/>
      </left>
      <right style="thin">
        <color indexed="8"/>
      </right>
      <top style="thin">
        <color indexed="64"/>
      </top>
      <bottom style="thin">
        <color indexed="64"/>
      </bottom>
      <diagonal/>
    </border>
    <border>
      <left/>
      <right/>
      <top style="thick">
        <color indexed="64"/>
      </top>
      <bottom/>
      <diagonal/>
    </border>
    <border>
      <left style="thin">
        <color indexed="64"/>
      </left>
      <right/>
      <top/>
      <bottom style="thin">
        <color indexed="64"/>
      </bottom>
      <diagonal/>
    </border>
    <border>
      <left style="thin">
        <color indexed="64"/>
      </left>
      <right/>
      <top/>
      <bottom/>
      <diagonal/>
    </border>
    <border>
      <left/>
      <right/>
      <top style="thin">
        <color indexed="64"/>
      </top>
      <bottom/>
      <diagonal/>
    </border>
    <border>
      <left style="thick">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ck">
        <color indexed="10"/>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ck">
        <color indexed="10"/>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ck">
        <color indexed="64"/>
      </right>
      <top style="thick">
        <color indexed="64"/>
      </top>
      <bottom/>
      <diagonal/>
    </border>
    <border>
      <left/>
      <right/>
      <top style="thick">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ck">
        <color indexed="64"/>
      </left>
      <right/>
      <top style="thick">
        <color indexed="64"/>
      </top>
      <bottom style="thin">
        <color indexed="64"/>
      </bottom>
      <diagonal/>
    </border>
    <border>
      <left style="thick">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n">
        <color indexed="64"/>
      </top>
      <bottom style="thick">
        <color indexed="64"/>
      </bottom>
      <diagonal/>
    </border>
    <border>
      <left/>
      <right style="thick">
        <color indexed="64"/>
      </right>
      <top style="thick">
        <color indexed="64"/>
      </top>
      <bottom style="thin">
        <color indexed="64"/>
      </bottom>
      <diagonal/>
    </border>
    <border>
      <left/>
      <right/>
      <top style="thin">
        <color indexed="64"/>
      </top>
      <bottom style="medium">
        <color indexed="64"/>
      </bottom>
      <diagonal/>
    </border>
    <border>
      <left/>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ck">
        <color indexed="64"/>
      </right>
      <top style="medium">
        <color indexed="64"/>
      </top>
      <bottom/>
      <diagonal/>
    </border>
    <border>
      <left/>
      <right style="thick">
        <color indexed="64"/>
      </right>
      <top style="medium">
        <color indexed="64"/>
      </top>
      <bottom/>
      <diagonal/>
    </border>
    <border>
      <left/>
      <right/>
      <top style="medium">
        <color indexed="64"/>
      </top>
      <bottom style="thick">
        <color indexed="64"/>
      </bottom>
      <diagonal/>
    </border>
    <border>
      <left style="medium">
        <color indexed="64"/>
      </left>
      <right style="thin">
        <color indexed="64"/>
      </right>
      <top style="thick">
        <color indexed="64"/>
      </top>
      <bottom style="thin">
        <color indexed="64"/>
      </bottom>
      <diagonal/>
    </border>
    <border>
      <left style="medium">
        <color indexed="64"/>
      </left>
      <right style="thin">
        <color indexed="64"/>
      </right>
      <top style="thin">
        <color indexed="64"/>
      </top>
      <bottom/>
      <diagonal/>
    </border>
    <border>
      <left/>
      <right style="thin">
        <color indexed="8"/>
      </right>
      <top style="thin">
        <color indexed="64"/>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thin">
        <color indexed="64"/>
      </right>
      <top/>
      <bottom style="medium">
        <color indexed="64"/>
      </bottom>
      <diagonal/>
    </border>
  </borders>
  <cellStyleXfs count="1">
    <xf numFmtId="0" fontId="0" fillId="0" borderId="0"/>
  </cellStyleXfs>
  <cellXfs count="364">
    <xf numFmtId="0" fontId="0" fillId="0" borderId="0" xfId="0"/>
    <xf numFmtId="0" fontId="0" fillId="0" borderId="0" xfId="0" applyBorder="1"/>
    <xf numFmtId="0" fontId="0" fillId="0" borderId="0" xfId="0" applyProtection="1">
      <protection hidden="1"/>
    </xf>
    <xf numFmtId="0" fontId="3" fillId="0" borderId="0" xfId="0" applyFont="1" applyAlignment="1" applyProtection="1">
      <alignment horizontal="center"/>
      <protection hidden="1"/>
    </xf>
    <xf numFmtId="0" fontId="0" fillId="0" borderId="2" xfId="0" applyBorder="1" applyProtection="1">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Protection="1">
      <protection locked="0" hidden="1"/>
    </xf>
    <xf numFmtId="0" fontId="0" fillId="0" borderId="5" xfId="0" applyBorder="1" applyProtection="1">
      <protection locked="0"/>
    </xf>
    <xf numFmtId="2" fontId="1" fillId="0" borderId="9" xfId="0" applyNumberFormat="1" applyFont="1" applyBorder="1" applyProtection="1">
      <protection locked="0" hidden="1"/>
    </xf>
    <xf numFmtId="0" fontId="1" fillId="0" borderId="10" xfId="0" applyFont="1" applyBorder="1" applyProtection="1">
      <protection locked="0" hidden="1"/>
    </xf>
    <xf numFmtId="0" fontId="0" fillId="0" borderId="11" xfId="0" applyBorder="1" applyProtection="1">
      <protection locked="0" hidden="1"/>
    </xf>
    <xf numFmtId="2" fontId="0" fillId="0" borderId="12" xfId="0" applyNumberFormat="1" applyBorder="1" applyProtection="1">
      <protection locked="0" hidden="1"/>
    </xf>
    <xf numFmtId="165" fontId="1" fillId="0" borderId="13" xfId="0" applyNumberFormat="1" applyFont="1" applyBorder="1" applyProtection="1">
      <protection locked="0" hidden="1"/>
    </xf>
    <xf numFmtId="0" fontId="0" fillId="0" borderId="14" xfId="0" applyBorder="1" applyProtection="1">
      <protection locked="0" hidden="1"/>
    </xf>
    <xf numFmtId="165" fontId="0" fillId="0" borderId="14" xfId="0" applyNumberFormat="1" applyBorder="1" applyProtection="1">
      <protection locked="0" hidden="1"/>
    </xf>
    <xf numFmtId="0" fontId="1" fillId="0" borderId="13" xfId="0" applyFont="1" applyBorder="1" applyProtection="1">
      <protection locked="0" hidden="1"/>
    </xf>
    <xf numFmtId="0" fontId="0" fillId="0" borderId="13" xfId="0" applyBorder="1"/>
    <xf numFmtId="0" fontId="0" fillId="0" borderId="10" xfId="0" applyBorder="1"/>
    <xf numFmtId="0" fontId="0" fillId="0" borderId="14" xfId="0" applyBorder="1"/>
    <xf numFmtId="0" fontId="0" fillId="0" borderId="11" xfId="0" applyBorder="1"/>
    <xf numFmtId="165" fontId="0" fillId="0" borderId="13" xfId="0" applyNumberFormat="1" applyBorder="1"/>
    <xf numFmtId="165" fontId="0" fillId="0" borderId="14" xfId="0" applyNumberFormat="1" applyBorder="1"/>
    <xf numFmtId="1" fontId="0" fillId="0" borderId="5" xfId="0" applyNumberFormat="1" applyBorder="1"/>
    <xf numFmtId="0" fontId="0" fillId="0" borderId="5" xfId="0" applyBorder="1"/>
    <xf numFmtId="0" fontId="0" fillId="0" borderId="2" xfId="0" applyBorder="1"/>
    <xf numFmtId="1" fontId="0" fillId="0" borderId="2" xfId="0" applyNumberFormat="1" applyBorder="1"/>
    <xf numFmtId="2" fontId="0" fillId="0" borderId="13" xfId="0" applyNumberFormat="1" applyBorder="1"/>
    <xf numFmtId="2" fontId="0" fillId="0" borderId="14" xfId="0" applyNumberFormat="1" applyBorder="1"/>
    <xf numFmtId="2" fontId="0" fillId="0" borderId="14" xfId="0" applyNumberFormat="1" applyFill="1" applyBorder="1"/>
    <xf numFmtId="0" fontId="0" fillId="0" borderId="16" xfId="0" applyBorder="1" applyProtection="1">
      <protection hidden="1"/>
    </xf>
    <xf numFmtId="2" fontId="0" fillId="0" borderId="17" xfId="0" applyNumberFormat="1" applyBorder="1" applyProtection="1">
      <protection locked="0" hidden="1"/>
    </xf>
    <xf numFmtId="0" fontId="0" fillId="0" borderId="18" xfId="0" applyBorder="1" applyProtection="1">
      <protection locked="0" hidden="1"/>
    </xf>
    <xf numFmtId="165" fontId="0" fillId="0" borderId="19" xfId="0" applyNumberFormat="1" applyBorder="1" applyProtection="1">
      <protection locked="0" hidden="1"/>
    </xf>
    <xf numFmtId="0" fontId="0" fillId="0" borderId="19" xfId="0" applyBorder="1" applyProtection="1">
      <protection locked="0" hidden="1"/>
    </xf>
    <xf numFmtId="0" fontId="0" fillId="0" borderId="19" xfId="0" applyBorder="1"/>
    <xf numFmtId="0" fontId="0" fillId="0" borderId="18" xfId="0" applyBorder="1"/>
    <xf numFmtId="165" fontId="0" fillId="0" borderId="19" xfId="0" applyNumberFormat="1" applyBorder="1"/>
    <xf numFmtId="2" fontId="0" fillId="0" borderId="19" xfId="0" applyNumberFormat="1" applyBorder="1"/>
    <xf numFmtId="1" fontId="0" fillId="0" borderId="20" xfId="0" applyNumberFormat="1" applyBorder="1"/>
    <xf numFmtId="0" fontId="0" fillId="0" borderId="20" xfId="0" applyBorder="1"/>
    <xf numFmtId="0" fontId="12" fillId="0" borderId="0" xfId="0" applyFont="1" applyFill="1" applyAlignment="1">
      <alignment horizontal="center"/>
    </xf>
    <xf numFmtId="0" fontId="10" fillId="0" borderId="0" xfId="0" applyFont="1" applyFill="1" applyAlignment="1" applyProtection="1">
      <alignment horizontal="center"/>
      <protection hidden="1"/>
    </xf>
    <xf numFmtId="0" fontId="0" fillId="0" borderId="20" xfId="0" applyBorder="1" applyProtection="1">
      <protection hidden="1"/>
    </xf>
    <xf numFmtId="0" fontId="0" fillId="0" borderId="12" xfId="0" applyBorder="1" applyProtection="1">
      <protection locked="0" hidden="1"/>
    </xf>
    <xf numFmtId="0" fontId="0" fillId="0" borderId="21" xfId="0" applyBorder="1" applyProtection="1">
      <protection locked="0" hidden="1"/>
    </xf>
    <xf numFmtId="0" fontId="0" fillId="0" borderId="22" xfId="0" applyBorder="1" applyProtection="1">
      <protection locked="0" hidden="1"/>
    </xf>
    <xf numFmtId="0" fontId="0" fillId="0" borderId="22" xfId="0" applyBorder="1"/>
    <xf numFmtId="0" fontId="0" fillId="0" borderId="21" xfId="0" applyBorder="1"/>
    <xf numFmtId="0" fontId="0" fillId="0" borderId="23" xfId="0" applyBorder="1"/>
    <xf numFmtId="0" fontId="0" fillId="0" borderId="16" xfId="0" applyFill="1" applyBorder="1" applyAlignment="1" applyProtection="1">
      <alignment horizontal="center"/>
      <protection hidden="1"/>
    </xf>
    <xf numFmtId="0" fontId="0" fillId="0" borderId="25" xfId="0" applyFill="1" applyBorder="1" applyAlignment="1" applyProtection="1">
      <alignment horizontal="center"/>
      <protection hidden="1"/>
    </xf>
    <xf numFmtId="0" fontId="0" fillId="0" borderId="26" xfId="0" applyFill="1" applyBorder="1" applyProtection="1">
      <protection hidden="1"/>
    </xf>
    <xf numFmtId="2" fontId="0" fillId="0" borderId="2" xfId="0" applyNumberFormat="1" applyFill="1" applyBorder="1" applyAlignment="1" applyProtection="1">
      <alignment vertical="center"/>
      <protection hidden="1"/>
    </xf>
    <xf numFmtId="2" fontId="0" fillId="0" borderId="14" xfId="0" applyNumberFormat="1" applyFill="1" applyBorder="1" applyAlignment="1" applyProtection="1">
      <alignment vertical="center"/>
      <protection hidden="1"/>
    </xf>
    <xf numFmtId="0" fontId="0" fillId="0" borderId="26" xfId="0" applyFill="1" applyBorder="1" applyAlignment="1" applyProtection="1">
      <alignment vertical="center"/>
      <protection hidden="1"/>
    </xf>
    <xf numFmtId="0" fontId="0" fillId="0" borderId="26" xfId="0" applyFill="1" applyBorder="1" applyAlignment="1">
      <alignment vertical="center"/>
    </xf>
    <xf numFmtId="0" fontId="3" fillId="0" borderId="0" xfId="0" applyFont="1" applyFill="1" applyBorder="1" applyAlignment="1" applyProtection="1">
      <alignment horizontal="right" vertical="center"/>
      <protection hidden="1"/>
    </xf>
    <xf numFmtId="2" fontId="3" fillId="0" borderId="0" xfId="0" applyNumberFormat="1" applyFont="1" applyFill="1" applyBorder="1" applyAlignment="1">
      <alignment horizontal="left" vertical="center"/>
    </xf>
    <xf numFmtId="0" fontId="0" fillId="0" borderId="0" xfId="0" applyFill="1" applyBorder="1" applyAlignment="1">
      <alignment vertical="center"/>
    </xf>
    <xf numFmtId="0" fontId="0" fillId="0" borderId="0" xfId="0" applyFill="1" applyBorder="1" applyAlignment="1">
      <alignment horizontal="center" vertical="center"/>
    </xf>
    <xf numFmtId="0" fontId="3" fillId="0" borderId="0" xfId="0" applyFont="1" applyFill="1" applyBorder="1" applyAlignment="1">
      <alignment horizontal="right" vertical="center"/>
    </xf>
    <xf numFmtId="0" fontId="3" fillId="0" borderId="0" xfId="0" applyFont="1" applyFill="1" applyBorder="1" applyAlignment="1" applyProtection="1">
      <alignment horizontal="left" vertical="center"/>
      <protection hidden="1"/>
    </xf>
    <xf numFmtId="2" fontId="3" fillId="0" borderId="0" xfId="0" applyNumberFormat="1" applyFont="1" applyFill="1" applyBorder="1" applyAlignment="1" applyProtection="1">
      <alignment horizontal="left" vertical="center"/>
      <protection hidden="1"/>
    </xf>
    <xf numFmtId="0" fontId="3" fillId="0" borderId="0" xfId="0" applyFont="1" applyFill="1" applyBorder="1" applyAlignment="1" applyProtection="1">
      <alignment horizontal="left"/>
      <protection hidden="1"/>
    </xf>
    <xf numFmtId="0" fontId="0" fillId="0" borderId="14" xfId="0" applyFill="1" applyBorder="1" applyAlignment="1" applyProtection="1">
      <alignment horizontal="center"/>
      <protection hidden="1"/>
    </xf>
    <xf numFmtId="164" fontId="0" fillId="0" borderId="14" xfId="0" applyNumberFormat="1" applyFill="1" applyBorder="1" applyProtection="1">
      <protection hidden="1"/>
    </xf>
    <xf numFmtId="2" fontId="0" fillId="0" borderId="2" xfId="0" applyNumberFormat="1" applyFill="1" applyBorder="1" applyProtection="1">
      <protection hidden="1"/>
    </xf>
    <xf numFmtId="0" fontId="4" fillId="0" borderId="2" xfId="0" applyFont="1" applyFill="1" applyBorder="1"/>
    <xf numFmtId="2" fontId="4" fillId="0" borderId="16" xfId="0" applyNumberFormat="1" applyFont="1" applyFill="1" applyBorder="1" applyAlignment="1">
      <alignment horizontal="center"/>
    </xf>
    <xf numFmtId="2" fontId="4" fillId="0" borderId="14" xfId="0" applyNumberFormat="1" applyFont="1" applyFill="1" applyBorder="1" applyAlignment="1">
      <alignment horizontal="center"/>
    </xf>
    <xf numFmtId="2" fontId="0" fillId="0" borderId="30" xfId="0" applyNumberFormat="1" applyBorder="1" applyProtection="1">
      <protection locked="0" hidden="1"/>
    </xf>
    <xf numFmtId="0" fontId="0" fillId="0" borderId="31" xfId="0" applyBorder="1" applyProtection="1">
      <protection locked="0" hidden="1"/>
    </xf>
    <xf numFmtId="165" fontId="0" fillId="0" borderId="25" xfId="0" applyNumberFormat="1" applyBorder="1" applyProtection="1">
      <protection locked="0" hidden="1"/>
    </xf>
    <xf numFmtId="0" fontId="0" fillId="0" borderId="25" xfId="0" applyBorder="1" applyProtection="1">
      <protection locked="0" hidden="1"/>
    </xf>
    <xf numFmtId="0" fontId="0" fillId="0" borderId="25" xfId="0" applyBorder="1"/>
    <xf numFmtId="0" fontId="0" fillId="0" borderId="31" xfId="0" applyBorder="1"/>
    <xf numFmtId="165" fontId="0" fillId="0" borderId="25" xfId="0" applyNumberFormat="1" applyBorder="1"/>
    <xf numFmtId="2" fontId="0" fillId="0" borderId="25" xfId="0" applyNumberFormat="1" applyBorder="1"/>
    <xf numFmtId="1" fontId="0" fillId="0" borderId="16" xfId="0" applyNumberFormat="1" applyBorder="1"/>
    <xf numFmtId="0" fontId="0" fillId="0" borderId="16" xfId="0" applyBorder="1"/>
    <xf numFmtId="0" fontId="0" fillId="0" borderId="32" xfId="0" applyBorder="1" applyProtection="1">
      <protection hidden="1"/>
    </xf>
    <xf numFmtId="2" fontId="0" fillId="0" borderId="33" xfId="0" applyNumberFormat="1" applyBorder="1" applyProtection="1">
      <protection locked="0" hidden="1"/>
    </xf>
    <xf numFmtId="0" fontId="0" fillId="0" borderId="34" xfId="0" applyBorder="1" applyProtection="1">
      <protection locked="0" hidden="1"/>
    </xf>
    <xf numFmtId="165" fontId="0" fillId="0" borderId="35" xfId="0" applyNumberFormat="1" applyBorder="1" applyProtection="1">
      <protection locked="0" hidden="1"/>
    </xf>
    <xf numFmtId="0" fontId="0" fillId="0" borderId="35" xfId="0" applyBorder="1" applyProtection="1">
      <protection locked="0" hidden="1"/>
    </xf>
    <xf numFmtId="0" fontId="0" fillId="0" borderId="35" xfId="0" applyBorder="1"/>
    <xf numFmtId="0" fontId="0" fillId="0" borderId="34" xfId="0" applyBorder="1"/>
    <xf numFmtId="165" fontId="0" fillId="0" borderId="35" xfId="0" applyNumberFormat="1" applyBorder="1"/>
    <xf numFmtId="2" fontId="0" fillId="0" borderId="35" xfId="0" applyNumberFormat="1" applyBorder="1"/>
    <xf numFmtId="1" fontId="0" fillId="0" borderId="32" xfId="0" applyNumberFormat="1" applyBorder="1"/>
    <xf numFmtId="0" fontId="0" fillId="0" borderId="32" xfId="0" applyBorder="1"/>
    <xf numFmtId="0" fontId="0" fillId="0" borderId="24" xfId="0" applyBorder="1" applyProtection="1">
      <protection hidden="1"/>
    </xf>
    <xf numFmtId="0" fontId="0" fillId="0" borderId="24" xfId="0" applyBorder="1" applyAlignment="1" applyProtection="1">
      <protection hidden="1"/>
    </xf>
    <xf numFmtId="0" fontId="0" fillId="0" borderId="36" xfId="0" applyBorder="1" applyAlignment="1" applyProtection="1">
      <protection hidden="1"/>
    </xf>
    <xf numFmtId="0" fontId="0" fillId="0" borderId="3" xfId="0" applyBorder="1" applyProtection="1">
      <protection hidden="1"/>
    </xf>
    <xf numFmtId="0" fontId="0" fillId="0" borderId="3" xfId="0" applyBorder="1"/>
    <xf numFmtId="0" fontId="0" fillId="0" borderId="8" xfId="0" applyBorder="1"/>
    <xf numFmtId="0" fontId="1" fillId="0" borderId="37" xfId="0" applyFont="1" applyBorder="1" applyProtection="1">
      <protection locked="0" hidden="1"/>
    </xf>
    <xf numFmtId="0" fontId="0" fillId="0" borderId="42" xfId="0" applyBorder="1" applyProtection="1">
      <protection locked="0" hidden="1"/>
    </xf>
    <xf numFmtId="0" fontId="0" fillId="0" borderId="45" xfId="0" applyBorder="1" applyProtection="1">
      <protection locked="0" hidden="1"/>
    </xf>
    <xf numFmtId="0" fontId="0" fillId="0" borderId="46" xfId="0" applyBorder="1" applyProtection="1">
      <protection locked="0" hidden="1"/>
    </xf>
    <xf numFmtId="0" fontId="0" fillId="0" borderId="27" xfId="0" applyBorder="1" applyProtection="1">
      <protection locked="0" hidden="1"/>
    </xf>
    <xf numFmtId="0" fontId="1" fillId="0" borderId="0" xfId="0" applyFont="1" applyFill="1" applyBorder="1"/>
    <xf numFmtId="0" fontId="1" fillId="0" borderId="0" xfId="0" applyFont="1"/>
    <xf numFmtId="0" fontId="1" fillId="0" borderId="0" xfId="0" applyFont="1" applyBorder="1"/>
    <xf numFmtId="0" fontId="1" fillId="0" borderId="0" xfId="0" applyFont="1" applyBorder="1" applyProtection="1">
      <protection hidden="1"/>
    </xf>
    <xf numFmtId="0" fontId="1" fillId="0" borderId="0" xfId="0" applyFont="1" applyBorder="1" applyAlignment="1" applyProtection="1">
      <alignment horizontal="left"/>
      <protection hidden="1"/>
    </xf>
    <xf numFmtId="0" fontId="1" fillId="0" borderId="0" xfId="0" applyFont="1" applyBorder="1" applyProtection="1">
      <protection locked="0" hidden="1"/>
    </xf>
    <xf numFmtId="0" fontId="3" fillId="0" borderId="0" xfId="0" applyFont="1" applyBorder="1" applyAlignment="1" applyProtection="1">
      <alignment horizontal="center"/>
      <protection hidden="1"/>
    </xf>
    <xf numFmtId="2" fontId="3" fillId="0" borderId="0" xfId="0" applyNumberFormat="1" applyFont="1" applyFill="1" applyBorder="1" applyAlignment="1">
      <alignment horizontal="left"/>
    </xf>
    <xf numFmtId="0" fontId="11" fillId="0" borderId="0" xfId="0" applyFont="1" applyFill="1" applyBorder="1" applyAlignment="1">
      <alignment vertical="center"/>
    </xf>
    <xf numFmtId="0" fontId="1" fillId="0" borderId="0" xfId="0" applyFont="1" applyBorder="1" applyAlignment="1" applyProtection="1">
      <alignment vertical="center"/>
      <protection hidden="1"/>
    </xf>
    <xf numFmtId="0" fontId="0" fillId="0" borderId="0" xfId="0" applyAlignment="1">
      <alignment vertical="center"/>
    </xf>
    <xf numFmtId="0" fontId="1" fillId="0" borderId="0" xfId="0" applyFont="1" applyBorder="1" applyAlignment="1">
      <alignment vertical="center"/>
    </xf>
    <xf numFmtId="0" fontId="18" fillId="0" borderId="0" xfId="0" applyFont="1" applyFill="1" applyBorder="1" applyAlignment="1" applyProtection="1">
      <alignment horizontal="right" vertical="center"/>
      <protection hidden="1"/>
    </xf>
    <xf numFmtId="0" fontId="0" fillId="0" borderId="51" xfId="0" applyFill="1" applyBorder="1" applyAlignment="1" applyProtection="1">
      <alignment horizontal="center"/>
      <protection hidden="1"/>
    </xf>
    <xf numFmtId="0" fontId="0" fillId="0" borderId="50" xfId="0" applyFill="1" applyBorder="1" applyProtection="1">
      <protection hidden="1"/>
    </xf>
    <xf numFmtId="0" fontId="0" fillId="0" borderId="51" xfId="0" applyFill="1" applyBorder="1" applyAlignment="1">
      <alignment horizontal="center" vertical="center"/>
    </xf>
    <xf numFmtId="0" fontId="0" fillId="0" borderId="52" xfId="0" applyFill="1" applyBorder="1" applyProtection="1">
      <protection hidden="1"/>
    </xf>
    <xf numFmtId="164" fontId="0" fillId="0" borderId="35" xfId="0" applyNumberFormat="1" applyFill="1" applyBorder="1" applyProtection="1">
      <protection hidden="1"/>
    </xf>
    <xf numFmtId="0" fontId="0" fillId="0" borderId="53" xfId="0" applyFill="1" applyBorder="1" applyAlignment="1">
      <alignment horizontal="center" vertical="center"/>
    </xf>
    <xf numFmtId="2" fontId="3" fillId="0" borderId="0" xfId="0" applyNumberFormat="1" applyFont="1" applyFill="1" applyBorder="1" applyAlignment="1" applyProtection="1">
      <alignment horizontal="left"/>
      <protection hidden="1"/>
    </xf>
    <xf numFmtId="0" fontId="3" fillId="0" borderId="47" xfId="0" applyFont="1" applyFill="1" applyBorder="1" applyAlignment="1" applyProtection="1">
      <protection hidden="1"/>
    </xf>
    <xf numFmtId="0" fontId="3" fillId="0" borderId="48" xfId="0" applyFont="1" applyFill="1" applyBorder="1" applyAlignment="1" applyProtection="1">
      <protection hidden="1"/>
    </xf>
    <xf numFmtId="0" fontId="3" fillId="0" borderId="49" xfId="0" applyFont="1" applyFill="1" applyBorder="1" applyAlignment="1" applyProtection="1">
      <protection hidden="1"/>
    </xf>
    <xf numFmtId="0" fontId="18" fillId="0" borderId="48" xfId="0" applyFont="1" applyFill="1" applyBorder="1" applyAlignment="1" applyProtection="1">
      <alignment horizontal="right"/>
      <protection hidden="1"/>
    </xf>
    <xf numFmtId="0" fontId="4" fillId="0" borderId="50" xfId="0" applyFont="1" applyFill="1" applyBorder="1"/>
    <xf numFmtId="0" fontId="4" fillId="0" borderId="51" xfId="0" applyFont="1" applyFill="1" applyBorder="1" applyAlignment="1">
      <alignment horizontal="center"/>
    </xf>
    <xf numFmtId="0" fontId="4" fillId="0" borderId="54" xfId="0" applyFont="1" applyFill="1" applyBorder="1" applyAlignment="1">
      <alignment horizontal="center"/>
    </xf>
    <xf numFmtId="0" fontId="4" fillId="0" borderId="55" xfId="0" applyFont="1" applyFill="1" applyBorder="1" applyAlignment="1">
      <alignment horizontal="center"/>
    </xf>
    <xf numFmtId="2" fontId="4" fillId="0" borderId="56" xfId="0" applyNumberFormat="1" applyFont="1" applyFill="1" applyBorder="1" applyAlignment="1">
      <alignment horizontal="center"/>
    </xf>
    <xf numFmtId="2" fontId="4" fillId="0" borderId="35" xfId="0" applyNumberFormat="1" applyFont="1" applyFill="1" applyBorder="1" applyAlignment="1">
      <alignment horizontal="center"/>
    </xf>
    <xf numFmtId="2" fontId="4" fillId="0" borderId="54" xfId="0" applyNumberFormat="1" applyFont="1" applyFill="1" applyBorder="1" applyAlignment="1">
      <alignment horizontal="center"/>
    </xf>
    <xf numFmtId="0" fontId="0" fillId="0" borderId="54" xfId="0" applyFill="1" applyBorder="1" applyAlignment="1" applyProtection="1">
      <alignment horizontal="center"/>
      <protection hidden="1"/>
    </xf>
    <xf numFmtId="0" fontId="0" fillId="0" borderId="57" xfId="0" applyFill="1" applyBorder="1" applyProtection="1">
      <protection hidden="1"/>
    </xf>
    <xf numFmtId="0" fontId="0" fillId="0" borderId="57" xfId="0" applyFill="1" applyBorder="1" applyAlignment="1">
      <alignment horizontal="center" vertical="center"/>
    </xf>
    <xf numFmtId="0" fontId="0" fillId="0" borderId="57" xfId="0" applyBorder="1"/>
    <xf numFmtId="0" fontId="3" fillId="0" borderId="57" xfId="0" applyFont="1" applyFill="1" applyBorder="1" applyAlignment="1" applyProtection="1">
      <alignment horizontal="left"/>
      <protection hidden="1"/>
    </xf>
    <xf numFmtId="2" fontId="4" fillId="0" borderId="55" xfId="0" applyNumberFormat="1" applyFont="1" applyFill="1" applyBorder="1" applyAlignment="1">
      <alignment horizontal="center"/>
    </xf>
    <xf numFmtId="0" fontId="0" fillId="0" borderId="59" xfId="0" applyFill="1" applyBorder="1"/>
    <xf numFmtId="0" fontId="0" fillId="0" borderId="60" xfId="0" applyFill="1" applyBorder="1"/>
    <xf numFmtId="0" fontId="0" fillId="0" borderId="61" xfId="0" applyBorder="1"/>
    <xf numFmtId="0" fontId="0" fillId="0" borderId="62" xfId="0" applyBorder="1"/>
    <xf numFmtId="0" fontId="0" fillId="0" borderId="63" xfId="0" applyBorder="1"/>
    <xf numFmtId="0" fontId="0" fillId="0" borderId="64" xfId="0" applyBorder="1" applyProtection="1">
      <protection hidden="1"/>
    </xf>
    <xf numFmtId="0" fontId="0" fillId="0" borderId="57" xfId="0" applyBorder="1" applyProtection="1">
      <protection hidden="1"/>
    </xf>
    <xf numFmtId="0" fontId="0" fillId="0" borderId="64" xfId="0" applyBorder="1"/>
    <xf numFmtId="0" fontId="0" fillId="0" borderId="57" xfId="0" applyBorder="1" applyProtection="1">
      <protection locked="0" hidden="1"/>
    </xf>
    <xf numFmtId="0" fontId="0" fillId="0" borderId="65" xfId="0" applyBorder="1"/>
    <xf numFmtId="0" fontId="0" fillId="0" borderId="59" xfId="0" applyBorder="1"/>
    <xf numFmtId="0" fontId="0" fillId="0" borderId="60" xfId="0" applyBorder="1"/>
    <xf numFmtId="0" fontId="18" fillId="0" borderId="58" xfId="0" applyFont="1" applyFill="1" applyBorder="1"/>
    <xf numFmtId="2" fontId="18" fillId="0" borderId="0" xfId="0" applyNumberFormat="1" applyFont="1" applyFill="1" applyBorder="1" applyAlignment="1" applyProtection="1">
      <alignment horizontal="left" vertical="center"/>
      <protection hidden="1"/>
    </xf>
    <xf numFmtId="0" fontId="0" fillId="4" borderId="0" xfId="0" applyFill="1"/>
    <xf numFmtId="0" fontId="0" fillId="4" borderId="0" xfId="0" applyFill="1" applyBorder="1"/>
    <xf numFmtId="2" fontId="0" fillId="0" borderId="32" xfId="0" applyNumberFormat="1" applyFill="1" applyBorder="1" applyProtection="1">
      <protection hidden="1"/>
    </xf>
    <xf numFmtId="0" fontId="1" fillId="5" borderId="0" xfId="0" applyFont="1" applyFill="1"/>
    <xf numFmtId="0" fontId="0" fillId="5" borderId="0" xfId="0" applyFill="1"/>
    <xf numFmtId="0" fontId="0" fillId="5" borderId="0" xfId="0" applyFill="1" applyAlignment="1">
      <alignment vertical="center"/>
    </xf>
    <xf numFmtId="0" fontId="1" fillId="6" borderId="0" xfId="0" applyFont="1" applyFill="1"/>
    <xf numFmtId="0" fontId="0" fillId="6" borderId="0" xfId="0" applyFill="1"/>
    <xf numFmtId="0" fontId="1" fillId="6" borderId="0" xfId="0" applyFont="1" applyFill="1" applyBorder="1"/>
    <xf numFmtId="0" fontId="16" fillId="6" borderId="0" xfId="0" applyFont="1" applyFill="1" applyBorder="1" applyAlignment="1"/>
    <xf numFmtId="0" fontId="15" fillId="6" borderId="19" xfId="0" applyFont="1" applyFill="1" applyBorder="1" applyAlignment="1"/>
    <xf numFmtId="0" fontId="16" fillId="6" borderId="27" xfId="0" applyFont="1" applyFill="1" applyBorder="1" applyAlignment="1"/>
    <xf numFmtId="0" fontId="18" fillId="6" borderId="26" xfId="0" applyFont="1" applyFill="1" applyBorder="1" applyAlignment="1" applyProtection="1">
      <protection hidden="1"/>
    </xf>
    <xf numFmtId="0" fontId="3" fillId="6" borderId="0" xfId="0" applyFont="1" applyFill="1" applyBorder="1" applyAlignment="1" applyProtection="1">
      <protection hidden="1"/>
    </xf>
    <xf numFmtId="0" fontId="3" fillId="6" borderId="26" xfId="0" applyFont="1" applyFill="1" applyBorder="1" applyAlignment="1" applyProtection="1">
      <alignment horizontal="center"/>
      <protection hidden="1"/>
    </xf>
    <xf numFmtId="0" fontId="3" fillId="6" borderId="0" xfId="0" applyFont="1" applyFill="1" applyBorder="1" applyAlignment="1" applyProtection="1">
      <alignment horizontal="left"/>
      <protection hidden="1"/>
    </xf>
    <xf numFmtId="0" fontId="1" fillId="6" borderId="0" xfId="0" applyFont="1" applyFill="1" applyBorder="1" applyProtection="1">
      <protection hidden="1"/>
    </xf>
    <xf numFmtId="0" fontId="1" fillId="6" borderId="26" xfId="0" applyFont="1" applyFill="1" applyBorder="1" applyAlignment="1" applyProtection="1">
      <alignment horizontal="center"/>
      <protection hidden="1"/>
    </xf>
    <xf numFmtId="0" fontId="1" fillId="6" borderId="0" xfId="0" applyFont="1" applyFill="1" applyBorder="1" applyAlignment="1" applyProtection="1">
      <alignment horizontal="center"/>
      <protection hidden="1"/>
    </xf>
    <xf numFmtId="0" fontId="1" fillId="6" borderId="0" xfId="0" applyFont="1" applyFill="1" applyBorder="1" applyAlignment="1">
      <alignment vertical="center"/>
    </xf>
    <xf numFmtId="0" fontId="1" fillId="6" borderId="0" xfId="0" applyFont="1" applyFill="1" applyAlignment="1">
      <alignment vertical="center"/>
    </xf>
    <xf numFmtId="0" fontId="0" fillId="6" borderId="0" xfId="0" applyFill="1" applyAlignment="1">
      <alignment vertical="center"/>
    </xf>
    <xf numFmtId="0" fontId="1" fillId="6" borderId="0" xfId="0" applyFont="1" applyFill="1" applyBorder="1" applyAlignment="1"/>
    <xf numFmtId="0" fontId="2" fillId="6" borderId="0" xfId="0" applyFont="1" applyFill="1" applyBorder="1" applyProtection="1">
      <protection hidden="1"/>
    </xf>
    <xf numFmtId="0" fontId="3" fillId="6" borderId="0" xfId="0" applyFont="1" applyFill="1" applyBorder="1" applyAlignment="1" applyProtection="1">
      <alignment horizontal="center" vertical="center"/>
      <protection hidden="1"/>
    </xf>
    <xf numFmtId="0" fontId="3" fillId="6" borderId="0" xfId="0" applyFont="1" applyFill="1" applyBorder="1" applyProtection="1">
      <protection hidden="1"/>
    </xf>
    <xf numFmtId="0" fontId="3" fillId="6" borderId="0" xfId="0" applyFont="1" applyFill="1" applyBorder="1"/>
    <xf numFmtId="0" fontId="1" fillId="6" borderId="0" xfId="0" applyFont="1" applyFill="1" applyBorder="1" applyAlignment="1" applyProtection="1">
      <alignment horizontal="right"/>
      <protection locked="0" hidden="1"/>
    </xf>
    <xf numFmtId="0" fontId="1" fillId="6" borderId="0" xfId="0" applyFont="1" applyFill="1" applyAlignment="1" applyProtection="1">
      <alignment horizontal="right"/>
      <protection locked="0" hidden="1"/>
    </xf>
    <xf numFmtId="0" fontId="1" fillId="6" borderId="0" xfId="0" applyFont="1" applyFill="1" applyProtection="1">
      <protection hidden="1"/>
    </xf>
    <xf numFmtId="0" fontId="1" fillId="6" borderId="0" xfId="0" applyFont="1" applyFill="1" applyBorder="1" applyAlignment="1" applyProtection="1">
      <alignment horizontal="right"/>
      <protection hidden="1"/>
    </xf>
    <xf numFmtId="0" fontId="1" fillId="6" borderId="0" xfId="0" applyFont="1" applyFill="1" applyBorder="1" applyProtection="1">
      <protection locked="0" hidden="1"/>
    </xf>
    <xf numFmtId="14" fontId="1" fillId="6" borderId="0" xfId="0" applyNumberFormat="1" applyFont="1" applyFill="1" applyProtection="1">
      <protection locked="0" hidden="1"/>
    </xf>
    <xf numFmtId="0" fontId="1" fillId="6" borderId="0" xfId="0" applyFont="1" applyFill="1" applyAlignment="1" applyProtection="1">
      <alignment horizontal="right"/>
      <protection hidden="1"/>
    </xf>
    <xf numFmtId="0" fontId="1" fillId="6" borderId="0" xfId="0" applyFont="1" applyFill="1" applyProtection="1">
      <protection locked="0" hidden="1"/>
    </xf>
    <xf numFmtId="2" fontId="0" fillId="0" borderId="50" xfId="0" applyNumberFormat="1" applyFill="1" applyBorder="1" applyAlignment="1" applyProtection="1">
      <alignment vertical="center"/>
      <protection hidden="1"/>
    </xf>
    <xf numFmtId="2" fontId="3" fillId="0" borderId="57" xfId="0" applyNumberFormat="1" applyFont="1" applyFill="1" applyBorder="1" applyAlignment="1" applyProtection="1">
      <alignment horizontal="left" vertical="center"/>
      <protection hidden="1"/>
    </xf>
    <xf numFmtId="0" fontId="0" fillId="0" borderId="0" xfId="0" applyFill="1" applyBorder="1"/>
    <xf numFmtId="2" fontId="3" fillId="0" borderId="57" xfId="0" applyNumberFormat="1" applyFont="1" applyFill="1" applyBorder="1" applyAlignment="1" applyProtection="1">
      <alignment horizontal="left"/>
      <protection hidden="1"/>
    </xf>
    <xf numFmtId="2" fontId="0" fillId="0" borderId="52" xfId="0" applyNumberFormat="1" applyFill="1" applyBorder="1" applyAlignment="1" applyProtection="1">
      <alignment vertical="center"/>
      <protection hidden="1"/>
    </xf>
    <xf numFmtId="0" fontId="0" fillId="0" borderId="58" xfId="0" applyFill="1" applyBorder="1"/>
    <xf numFmtId="0" fontId="0" fillId="0" borderId="50" xfId="0" applyFill="1" applyBorder="1" applyAlignment="1" applyProtection="1">
      <alignment vertical="center"/>
      <protection hidden="1"/>
    </xf>
    <xf numFmtId="0" fontId="0" fillId="0" borderId="57" xfId="0" applyFill="1" applyBorder="1" applyAlignment="1" applyProtection="1">
      <alignment vertical="center"/>
      <protection hidden="1"/>
    </xf>
    <xf numFmtId="2" fontId="3" fillId="0" borderId="57" xfId="0" applyNumberFormat="1" applyFont="1" applyFill="1" applyBorder="1" applyAlignment="1">
      <alignment horizontal="left" vertical="center"/>
    </xf>
    <xf numFmtId="0" fontId="0" fillId="0" borderId="0" xfId="0" applyBorder="1" applyAlignment="1">
      <alignment vertical="center"/>
    </xf>
    <xf numFmtId="0" fontId="0" fillId="0" borderId="57" xfId="0" applyFill="1" applyBorder="1" applyAlignment="1">
      <alignment vertical="center"/>
    </xf>
    <xf numFmtId="0" fontId="0" fillId="0" borderId="52" xfId="0" applyFill="1" applyBorder="1" applyAlignment="1" applyProtection="1">
      <alignment vertical="center"/>
      <protection hidden="1"/>
    </xf>
    <xf numFmtId="2" fontId="0" fillId="0" borderId="32" xfId="0" applyNumberFormat="1" applyFill="1" applyBorder="1" applyAlignment="1" applyProtection="1">
      <alignment vertical="center"/>
      <protection hidden="1"/>
    </xf>
    <xf numFmtId="2" fontId="0" fillId="0" borderId="35" xfId="0" applyNumberFormat="1" applyFill="1" applyBorder="1" applyAlignment="1" applyProtection="1">
      <alignment vertical="center"/>
      <protection hidden="1"/>
    </xf>
    <xf numFmtId="0" fontId="13" fillId="0" borderId="58" xfId="0" applyFont="1" applyFill="1" applyBorder="1" applyAlignment="1" applyProtection="1">
      <alignment vertical="center"/>
      <protection hidden="1"/>
    </xf>
    <xf numFmtId="0" fontId="0" fillId="0" borderId="59" xfId="0" applyFill="1" applyBorder="1" applyAlignment="1">
      <alignment vertical="center"/>
    </xf>
    <xf numFmtId="0" fontId="0" fillId="0" borderId="60" xfId="0" applyFill="1" applyBorder="1" applyAlignment="1">
      <alignment vertical="center"/>
    </xf>
    <xf numFmtId="0" fontId="3" fillId="0" borderId="5" xfId="0" applyFont="1" applyFill="1" applyBorder="1" applyAlignment="1" applyProtection="1">
      <alignment horizontal="left"/>
      <protection hidden="1"/>
    </xf>
    <xf numFmtId="0" fontId="17" fillId="0" borderId="0" xfId="0" applyFont="1" applyFill="1" applyBorder="1" applyAlignment="1" applyProtection="1">
      <protection hidden="1"/>
    </xf>
    <xf numFmtId="0" fontId="0" fillId="0" borderId="0" xfId="0" applyFill="1" applyBorder="1" applyAlignment="1" applyProtection="1">
      <protection hidden="1"/>
    </xf>
    <xf numFmtId="2" fontId="18" fillId="0" borderId="59" xfId="0" applyNumberFormat="1" applyFont="1" applyFill="1" applyBorder="1" applyAlignment="1">
      <alignment horizontal="left"/>
    </xf>
    <xf numFmtId="0" fontId="17" fillId="0" borderId="48" xfId="0" applyFont="1" applyFill="1" applyBorder="1" applyAlignment="1" applyProtection="1">
      <protection hidden="1"/>
    </xf>
    <xf numFmtId="0" fontId="17" fillId="0" borderId="49" xfId="0" applyFont="1" applyFill="1" applyBorder="1" applyAlignment="1" applyProtection="1">
      <protection hidden="1"/>
    </xf>
    <xf numFmtId="0" fontId="1" fillId="0" borderId="50" xfId="0" applyFont="1" applyFill="1" applyBorder="1" applyAlignment="1" applyProtection="1">
      <alignment horizontal="center"/>
      <protection hidden="1"/>
    </xf>
    <xf numFmtId="0" fontId="16" fillId="6" borderId="18" xfId="0" applyFont="1" applyFill="1" applyBorder="1" applyAlignment="1"/>
    <xf numFmtId="0" fontId="3" fillId="6" borderId="7" xfId="0" applyFont="1" applyFill="1" applyBorder="1" applyAlignment="1" applyProtection="1">
      <protection hidden="1"/>
    </xf>
    <xf numFmtId="0" fontId="3" fillId="6" borderId="7" xfId="0" applyFont="1" applyFill="1" applyBorder="1" applyAlignment="1" applyProtection="1">
      <alignment horizontal="left"/>
      <protection hidden="1"/>
    </xf>
    <xf numFmtId="0" fontId="1" fillId="6" borderId="7" xfId="0" applyFont="1" applyFill="1" applyBorder="1" applyAlignment="1" applyProtection="1">
      <alignment horizontal="center"/>
      <protection hidden="1"/>
    </xf>
    <xf numFmtId="0" fontId="1" fillId="6" borderId="25" xfId="0" applyFont="1" applyFill="1" applyBorder="1" applyAlignment="1" applyProtection="1">
      <alignment horizontal="center"/>
      <protection hidden="1"/>
    </xf>
    <xf numFmtId="0" fontId="1" fillId="6" borderId="46" xfId="0" applyFont="1" applyFill="1" applyBorder="1" applyAlignment="1" applyProtection="1">
      <alignment horizontal="center"/>
      <protection hidden="1"/>
    </xf>
    <xf numFmtId="0" fontId="1" fillId="6" borderId="31" xfId="0" applyFont="1" applyFill="1" applyBorder="1" applyAlignment="1" applyProtection="1">
      <alignment horizontal="center"/>
      <protection hidden="1"/>
    </xf>
    <xf numFmtId="0" fontId="6" fillId="2" borderId="70" xfId="0" applyFont="1" applyFill="1" applyBorder="1" applyAlignment="1" applyProtection="1">
      <alignment horizontal="center"/>
      <protection hidden="1"/>
    </xf>
    <xf numFmtId="0" fontId="6" fillId="2" borderId="71" xfId="0" applyFont="1" applyFill="1" applyBorder="1" applyAlignment="1" applyProtection="1">
      <alignment horizontal="center"/>
      <protection hidden="1"/>
    </xf>
    <xf numFmtId="0" fontId="6" fillId="2" borderId="63" xfId="0" applyFont="1" applyFill="1" applyBorder="1" applyAlignment="1" applyProtection="1">
      <alignment horizontal="center"/>
      <protection hidden="1"/>
    </xf>
    <xf numFmtId="0" fontId="7" fillId="2" borderId="61" xfId="0" applyFont="1" applyFill="1" applyBorder="1" applyAlignment="1" applyProtection="1">
      <alignment horizontal="center"/>
      <protection hidden="1"/>
    </xf>
    <xf numFmtId="0" fontId="7" fillId="2" borderId="62" xfId="0" applyFont="1" applyFill="1" applyBorder="1" applyAlignment="1" applyProtection="1">
      <alignment horizontal="center"/>
      <protection hidden="1"/>
    </xf>
    <xf numFmtId="0" fontId="6" fillId="2" borderId="62" xfId="0" applyFont="1" applyFill="1" applyBorder="1" applyAlignment="1" applyProtection="1">
      <alignment horizontal="center"/>
      <protection hidden="1"/>
    </xf>
    <xf numFmtId="0" fontId="6" fillId="2" borderId="72" xfId="0" applyFont="1" applyFill="1" applyBorder="1" applyAlignment="1" applyProtection="1">
      <alignment horizontal="center"/>
      <protection hidden="1"/>
    </xf>
    <xf numFmtId="0" fontId="5" fillId="2" borderId="72" xfId="0" applyFont="1" applyFill="1" applyBorder="1" applyAlignment="1" applyProtection="1">
      <alignment horizontal="center"/>
      <protection hidden="1"/>
    </xf>
    <xf numFmtId="0" fontId="0" fillId="0" borderId="73" xfId="0" applyBorder="1" applyProtection="1">
      <protection locked="0"/>
    </xf>
    <xf numFmtId="0" fontId="0" fillId="0" borderId="50" xfId="0" applyBorder="1" applyProtection="1">
      <protection hidden="1"/>
    </xf>
    <xf numFmtId="0" fontId="0" fillId="0" borderId="52" xfId="0" applyBorder="1" applyProtection="1">
      <protection hidden="1"/>
    </xf>
    <xf numFmtId="0" fontId="0" fillId="0" borderId="54" xfId="0" applyBorder="1" applyProtection="1">
      <protection hidden="1"/>
    </xf>
    <xf numFmtId="0" fontId="0" fillId="0" borderId="74" xfId="0" applyBorder="1" applyProtection="1">
      <protection hidden="1"/>
    </xf>
    <xf numFmtId="0" fontId="0" fillId="0" borderId="50" xfId="0" applyBorder="1" applyProtection="1">
      <protection locked="0"/>
    </xf>
    <xf numFmtId="0" fontId="0" fillId="0" borderId="52" xfId="0" applyBorder="1" applyProtection="1">
      <protection locked="0"/>
    </xf>
    <xf numFmtId="0" fontId="0" fillId="0" borderId="33" xfId="0" applyBorder="1" applyProtection="1">
      <protection locked="0" hidden="1"/>
    </xf>
    <xf numFmtId="0" fontId="0" fillId="0" borderId="75" xfId="0" applyBorder="1" applyProtection="1">
      <protection locked="0" hidden="1"/>
    </xf>
    <xf numFmtId="0" fontId="0" fillId="0" borderId="76" xfId="0" applyBorder="1" applyProtection="1">
      <protection locked="0" hidden="1"/>
    </xf>
    <xf numFmtId="0" fontId="0" fillId="0" borderId="76" xfId="0" applyBorder="1"/>
    <xf numFmtId="0" fontId="0" fillId="0" borderId="75" xfId="0" applyBorder="1"/>
    <xf numFmtId="0" fontId="0" fillId="0" borderId="77" xfId="0" applyBorder="1"/>
    <xf numFmtId="14" fontId="0" fillId="0" borderId="13" xfId="0" applyNumberFormat="1" applyBorder="1"/>
    <xf numFmtId="14" fontId="0" fillId="0" borderId="14" xfId="0" applyNumberFormat="1" applyBorder="1"/>
    <xf numFmtId="14" fontId="0" fillId="0" borderId="35" xfId="0" applyNumberFormat="1" applyBorder="1"/>
    <xf numFmtId="14" fontId="0" fillId="0" borderId="25" xfId="0" applyNumberFormat="1" applyBorder="1"/>
    <xf numFmtId="14" fontId="0" fillId="0" borderId="19" xfId="0" applyNumberFormat="1" applyBorder="1"/>
    <xf numFmtId="19" fontId="0" fillId="0" borderId="2" xfId="0" applyNumberFormat="1" applyBorder="1"/>
    <xf numFmtId="19" fontId="0" fillId="0" borderId="16" xfId="0" applyNumberFormat="1" applyBorder="1"/>
    <xf numFmtId="19" fontId="0" fillId="0" borderId="51" xfId="0" applyNumberFormat="1" applyBorder="1"/>
    <xf numFmtId="19" fontId="0" fillId="0" borderId="32" xfId="0" applyNumberFormat="1" applyBorder="1"/>
    <xf numFmtId="19" fontId="0" fillId="0" borderId="53" xfId="0" applyNumberFormat="1" applyBorder="1"/>
    <xf numFmtId="19" fontId="0" fillId="0" borderId="78" xfId="0" applyNumberFormat="1" applyBorder="1"/>
    <xf numFmtId="0" fontId="0" fillId="0" borderId="51" xfId="0" applyBorder="1"/>
    <xf numFmtId="0" fontId="0" fillId="0" borderId="53" xfId="0" applyBorder="1"/>
    <xf numFmtId="0" fontId="0" fillId="4" borderId="0" xfId="0" applyFill="1" applyProtection="1">
      <protection hidden="1"/>
    </xf>
    <xf numFmtId="0" fontId="3" fillId="4" borderId="0" xfId="0" applyFont="1" applyFill="1" applyProtection="1">
      <protection hidden="1"/>
    </xf>
    <xf numFmtId="0" fontId="9" fillId="4" borderId="0" xfId="0" applyFont="1" applyFill="1" applyProtection="1">
      <protection hidden="1"/>
    </xf>
    <xf numFmtId="0" fontId="0" fillId="4" borderId="0" xfId="0" applyFill="1" applyBorder="1" applyProtection="1">
      <protection hidden="1"/>
    </xf>
    <xf numFmtId="0" fontId="9" fillId="4" borderId="0" xfId="0" applyFont="1" applyFill="1"/>
    <xf numFmtId="0" fontId="6" fillId="4" borderId="0" xfId="0" applyFont="1" applyFill="1"/>
    <xf numFmtId="0" fontId="13" fillId="4" borderId="0" xfId="0" applyFont="1" applyFill="1" applyProtection="1">
      <protection hidden="1"/>
    </xf>
    <xf numFmtId="0" fontId="1" fillId="0" borderId="2" xfId="0" applyFont="1" applyFill="1" applyBorder="1" applyAlignment="1" applyProtection="1">
      <alignment horizontal="center"/>
      <protection hidden="1"/>
    </xf>
    <xf numFmtId="0" fontId="3" fillId="0" borderId="47" xfId="0" applyFont="1" applyFill="1" applyBorder="1" applyProtection="1">
      <protection hidden="1"/>
    </xf>
    <xf numFmtId="0" fontId="0" fillId="0" borderId="79" xfId="0" applyFill="1" applyBorder="1" applyAlignment="1" applyProtection="1">
      <alignment horizontal="right"/>
      <protection hidden="1"/>
    </xf>
    <xf numFmtId="0" fontId="0" fillId="0" borderId="80" xfId="0" applyFill="1" applyBorder="1" applyAlignment="1" applyProtection="1">
      <alignment horizontal="center"/>
      <protection hidden="1"/>
    </xf>
    <xf numFmtId="0" fontId="0" fillId="0" borderId="79" xfId="0" applyFill="1" applyBorder="1" applyAlignment="1" applyProtection="1">
      <alignment horizontal="center"/>
      <protection hidden="1"/>
    </xf>
    <xf numFmtId="0" fontId="0" fillId="0" borderId="80" xfId="0" applyFill="1" applyBorder="1" applyAlignment="1" applyProtection="1">
      <alignment horizontal="left"/>
      <protection hidden="1"/>
    </xf>
    <xf numFmtId="0" fontId="1" fillId="0" borderId="79" xfId="0" applyFont="1" applyFill="1" applyBorder="1" applyAlignment="1" applyProtection="1">
      <alignment horizontal="center"/>
      <protection hidden="1"/>
    </xf>
    <xf numFmtId="0" fontId="0" fillId="0" borderId="49" xfId="0" applyFill="1" applyBorder="1" applyAlignment="1" applyProtection="1">
      <alignment horizontal="left"/>
      <protection hidden="1"/>
    </xf>
    <xf numFmtId="0" fontId="2" fillId="0" borderId="64" xfId="0" applyFont="1" applyBorder="1"/>
    <xf numFmtId="0" fontId="1" fillId="7" borderId="0" xfId="0" applyFont="1" applyFill="1" applyBorder="1"/>
    <xf numFmtId="0" fontId="0" fillId="7" borderId="0" xfId="0" applyFill="1" applyBorder="1"/>
    <xf numFmtId="0" fontId="1" fillId="7" borderId="57" xfId="0" applyFont="1" applyFill="1" applyBorder="1"/>
    <xf numFmtId="0" fontId="0" fillId="7" borderId="57" xfId="0" applyFill="1" applyBorder="1"/>
    <xf numFmtId="0" fontId="1" fillId="7" borderId="59" xfId="0" applyFont="1" applyFill="1" applyBorder="1"/>
    <xf numFmtId="0" fontId="0" fillId="7" borderId="59" xfId="0" applyFill="1" applyBorder="1"/>
    <xf numFmtId="0" fontId="0" fillId="7" borderId="60" xfId="0" applyFill="1" applyBorder="1"/>
    <xf numFmtId="0" fontId="0" fillId="0" borderId="7" xfId="0" applyBorder="1"/>
    <xf numFmtId="0" fontId="0" fillId="0" borderId="81" xfId="0" applyBorder="1"/>
    <xf numFmtId="0" fontId="0" fillId="0" borderId="82" xfId="0" applyBorder="1"/>
    <xf numFmtId="1" fontId="18" fillId="7" borderId="49" xfId="0" applyNumberFormat="1" applyFont="1" applyFill="1" applyBorder="1" applyAlignment="1">
      <alignment horizontal="left" vertical="center"/>
    </xf>
    <xf numFmtId="0" fontId="0" fillId="7" borderId="49" xfId="0" applyFill="1" applyBorder="1" applyAlignment="1" applyProtection="1">
      <alignment horizontal="left" vertical="center"/>
      <protection hidden="1"/>
    </xf>
    <xf numFmtId="0" fontId="18" fillId="7" borderId="49" xfId="0" applyFont="1" applyFill="1" applyBorder="1" applyAlignment="1" applyProtection="1">
      <alignment horizontal="left"/>
      <protection hidden="1"/>
    </xf>
    <xf numFmtId="0" fontId="0" fillId="7" borderId="0" xfId="0" applyFill="1"/>
    <xf numFmtId="0" fontId="1" fillId="4" borderId="0" xfId="0" applyFont="1" applyFill="1"/>
    <xf numFmtId="0" fontId="20" fillId="4" borderId="0" xfId="0" applyFont="1" applyFill="1"/>
    <xf numFmtId="0" fontId="21" fillId="4" borderId="0" xfId="0" applyFont="1" applyFill="1"/>
    <xf numFmtId="0" fontId="22" fillId="4" borderId="0" xfId="0" applyFont="1" applyFill="1"/>
    <xf numFmtId="0" fontId="16" fillId="4" borderId="0" xfId="0" applyFont="1" applyFill="1"/>
    <xf numFmtId="0" fontId="0" fillId="4" borderId="0" xfId="0" applyFill="1" applyAlignment="1"/>
    <xf numFmtId="0" fontId="6" fillId="2" borderId="72" xfId="0" applyFont="1" applyFill="1" applyBorder="1" applyAlignment="1" applyProtection="1">
      <alignment horizontal="center"/>
      <protection hidden="1"/>
    </xf>
    <xf numFmtId="0" fontId="0" fillId="0" borderId="1" xfId="0" applyFill="1" applyBorder="1" applyAlignment="1" applyProtection="1">
      <alignment horizontal="center"/>
      <protection hidden="1"/>
    </xf>
    <xf numFmtId="0" fontId="0" fillId="0" borderId="2" xfId="0" applyFill="1" applyBorder="1" applyAlignment="1" applyProtection="1">
      <alignment horizontal="center"/>
      <protection hidden="1"/>
    </xf>
    <xf numFmtId="0" fontId="0" fillId="0" borderId="28" xfId="0" applyFill="1" applyBorder="1" applyAlignment="1" applyProtection="1">
      <alignment horizontal="center"/>
      <protection hidden="1"/>
    </xf>
    <xf numFmtId="0" fontId="0" fillId="0" borderId="6" xfId="0" applyFill="1" applyBorder="1" applyAlignment="1" applyProtection="1">
      <alignment horizontal="center"/>
      <protection hidden="1"/>
    </xf>
    <xf numFmtId="0" fontId="3" fillId="0" borderId="4" xfId="0" applyFont="1" applyFill="1" applyBorder="1" applyAlignment="1" applyProtection="1">
      <alignment horizontal="right"/>
      <protection hidden="1"/>
    </xf>
    <xf numFmtId="0" fontId="3" fillId="0" borderId="5" xfId="0" applyFont="1" applyFill="1" applyBorder="1" applyAlignment="1">
      <alignment horizontal="right"/>
    </xf>
    <xf numFmtId="0" fontId="3" fillId="0" borderId="1" xfId="0" applyFont="1" applyFill="1" applyBorder="1" applyAlignment="1" applyProtection="1">
      <alignment horizontal="center"/>
      <protection hidden="1"/>
    </xf>
    <xf numFmtId="0" fontId="3" fillId="0" borderId="2" xfId="0" applyFont="1" applyFill="1" applyBorder="1" applyAlignment="1" applyProtection="1">
      <alignment horizontal="center"/>
      <protection hidden="1"/>
    </xf>
    <xf numFmtId="0" fontId="3" fillId="3" borderId="14" xfId="0" applyFont="1" applyFill="1" applyBorder="1" applyAlignment="1" applyProtection="1">
      <alignment horizontal="center"/>
      <protection locked="0"/>
    </xf>
    <xf numFmtId="0" fontId="3" fillId="3" borderId="42" xfId="0" applyFont="1" applyFill="1" applyBorder="1" applyAlignment="1">
      <alignment horizontal="center"/>
    </xf>
    <xf numFmtId="0" fontId="3" fillId="3" borderId="11" xfId="0" applyFont="1" applyFill="1" applyBorder="1" applyAlignment="1">
      <alignment horizontal="center"/>
    </xf>
    <xf numFmtId="0" fontId="0" fillId="0" borderId="13" xfId="0" applyFill="1" applyBorder="1" applyAlignment="1" applyProtection="1">
      <alignment horizontal="center"/>
      <protection hidden="1"/>
    </xf>
    <xf numFmtId="0" fontId="0" fillId="0" borderId="37" xfId="0" applyFill="1" applyBorder="1" applyAlignment="1" applyProtection="1">
      <alignment horizontal="center"/>
      <protection hidden="1"/>
    </xf>
    <xf numFmtId="0" fontId="0" fillId="0" borderId="44" xfId="0" applyFill="1" applyBorder="1" applyAlignment="1" applyProtection="1">
      <alignment horizontal="center"/>
      <protection hidden="1"/>
    </xf>
    <xf numFmtId="0" fontId="3" fillId="0" borderId="14" xfId="0" applyFont="1" applyFill="1" applyBorder="1" applyAlignment="1" applyProtection="1">
      <alignment horizontal="left"/>
      <protection hidden="1"/>
    </xf>
    <xf numFmtId="0" fontId="3" fillId="0" borderId="11" xfId="0" applyFont="1" applyFill="1" applyBorder="1" applyAlignment="1" applyProtection="1">
      <alignment horizontal="left"/>
      <protection hidden="1"/>
    </xf>
    <xf numFmtId="0" fontId="3" fillId="0" borderId="66" xfId="0" applyFont="1" applyFill="1" applyBorder="1" applyAlignment="1" applyProtection="1">
      <alignment horizontal="left"/>
      <protection hidden="1"/>
    </xf>
    <xf numFmtId="0" fontId="3" fillId="0" borderId="42" xfId="0" applyFont="1" applyFill="1" applyBorder="1" applyAlignment="1" applyProtection="1">
      <alignment horizontal="left"/>
      <protection hidden="1"/>
    </xf>
    <xf numFmtId="0" fontId="17" fillId="0" borderId="13" xfId="0" applyFont="1" applyFill="1" applyBorder="1" applyAlignment="1" applyProtection="1">
      <alignment horizontal="left"/>
      <protection hidden="1"/>
    </xf>
    <xf numFmtId="0" fontId="17" fillId="0" borderId="37" xfId="0" applyFont="1" applyFill="1" applyBorder="1" applyAlignment="1" applyProtection="1">
      <alignment horizontal="left"/>
      <protection hidden="1"/>
    </xf>
    <xf numFmtId="0" fontId="17" fillId="0" borderId="10" xfId="0" applyFont="1" applyFill="1" applyBorder="1" applyAlignment="1" applyProtection="1">
      <alignment horizontal="left"/>
      <protection hidden="1"/>
    </xf>
    <xf numFmtId="0" fontId="3" fillId="6" borderId="0" xfId="0" applyFont="1" applyFill="1" applyBorder="1" applyAlignment="1" applyProtection="1">
      <alignment horizontal="center"/>
      <protection hidden="1"/>
    </xf>
    <xf numFmtId="2" fontId="3" fillId="6" borderId="0" xfId="0" applyNumberFormat="1" applyFont="1" applyFill="1" applyBorder="1" applyAlignment="1" applyProtection="1">
      <alignment horizontal="center"/>
      <protection hidden="1"/>
    </xf>
    <xf numFmtId="0" fontId="3" fillId="0" borderId="0" xfId="0" applyFont="1" applyBorder="1" applyAlignment="1" applyProtection="1">
      <alignment horizontal="center"/>
      <protection hidden="1"/>
    </xf>
    <xf numFmtId="0" fontId="0" fillId="0" borderId="14" xfId="0" applyFill="1" applyBorder="1" applyAlignment="1" applyProtection="1">
      <alignment horizontal="center"/>
      <protection locked="0"/>
    </xf>
    <xf numFmtId="0" fontId="0" fillId="0" borderId="11" xfId="0" applyFill="1" applyBorder="1" applyAlignment="1" applyProtection="1">
      <alignment horizontal="center"/>
      <protection locked="0"/>
    </xf>
    <xf numFmtId="0" fontId="0" fillId="0" borderId="29" xfId="0" applyFill="1" applyBorder="1" applyAlignment="1" applyProtection="1">
      <alignment horizontal="center"/>
      <protection locked="0"/>
    </xf>
    <xf numFmtId="0" fontId="0" fillId="0" borderId="67" xfId="0" applyFill="1" applyBorder="1" applyAlignment="1" applyProtection="1">
      <alignment horizontal="center"/>
      <protection locked="0"/>
    </xf>
    <xf numFmtId="0" fontId="0" fillId="0" borderId="66" xfId="0" applyFill="1" applyBorder="1" applyAlignment="1" applyProtection="1">
      <alignment horizontal="center"/>
      <protection locked="0"/>
    </xf>
    <xf numFmtId="0" fontId="0" fillId="0" borderId="39" xfId="0" applyFill="1" applyBorder="1" applyAlignment="1" applyProtection="1">
      <alignment horizontal="center"/>
      <protection locked="0"/>
    </xf>
    <xf numFmtId="0" fontId="0" fillId="0" borderId="14" xfId="0" applyFill="1" applyBorder="1" applyAlignment="1" applyProtection="1">
      <alignment horizontal="left"/>
      <protection locked="0"/>
    </xf>
    <xf numFmtId="0" fontId="0" fillId="0" borderId="42" xfId="0" applyFill="1" applyBorder="1" applyAlignment="1" applyProtection="1">
      <alignment horizontal="left"/>
      <protection locked="0"/>
    </xf>
    <xf numFmtId="0" fontId="0" fillId="0" borderId="11" xfId="0" applyFill="1" applyBorder="1" applyAlignment="1" applyProtection="1">
      <alignment horizontal="left"/>
      <protection locked="0"/>
    </xf>
    <xf numFmtId="0" fontId="0" fillId="0" borderId="29" xfId="0" applyFill="1" applyBorder="1" applyAlignment="1" applyProtection="1">
      <alignment horizontal="left"/>
      <protection locked="0"/>
    </xf>
    <xf numFmtId="0" fontId="0" fillId="0" borderId="38" xfId="0" applyFill="1" applyBorder="1" applyAlignment="1" applyProtection="1">
      <alignment horizontal="left"/>
      <protection locked="0"/>
    </xf>
    <xf numFmtId="0" fontId="0" fillId="0" borderId="39" xfId="0" applyFill="1" applyBorder="1" applyAlignment="1" applyProtection="1">
      <alignment horizontal="left"/>
      <protection locked="0"/>
    </xf>
    <xf numFmtId="0" fontId="0" fillId="0" borderId="68" xfId="0" applyFill="1" applyBorder="1" applyAlignment="1" applyProtection="1">
      <alignment horizontal="left"/>
      <protection locked="0"/>
    </xf>
    <xf numFmtId="0" fontId="0" fillId="0" borderId="35" xfId="0" applyFill="1" applyBorder="1" applyAlignment="1" applyProtection="1">
      <alignment horizontal="left"/>
      <protection locked="0"/>
    </xf>
    <xf numFmtId="0" fontId="0" fillId="0" borderId="45" xfId="0" applyFill="1" applyBorder="1" applyAlignment="1" applyProtection="1">
      <alignment horizontal="left"/>
      <protection locked="0"/>
    </xf>
    <xf numFmtId="0" fontId="0" fillId="0" borderId="69" xfId="0" applyFill="1" applyBorder="1" applyAlignment="1" applyProtection="1">
      <alignment horizontal="left"/>
      <protection locked="0"/>
    </xf>
    <xf numFmtId="0" fontId="14" fillId="0" borderId="0" xfId="0" applyFont="1" applyFill="1" applyBorder="1" applyAlignment="1">
      <alignment horizontal="center"/>
    </xf>
    <xf numFmtId="0" fontId="3" fillId="0" borderId="0" xfId="0" applyFont="1" applyFill="1" applyBorder="1" applyAlignment="1">
      <alignment horizontal="center"/>
    </xf>
    <xf numFmtId="14" fontId="0" fillId="3" borderId="2" xfId="0" applyNumberFormat="1" applyFill="1" applyBorder="1" applyAlignment="1" applyProtection="1">
      <alignment horizontal="center"/>
      <protection locked="0"/>
    </xf>
    <xf numFmtId="0" fontId="0" fillId="3" borderId="15" xfId="0" applyFill="1" applyBorder="1" applyAlignment="1">
      <alignment horizontal="center"/>
    </xf>
    <xf numFmtId="0" fontId="0" fillId="3" borderId="2" xfId="0" applyFill="1" applyBorder="1" applyAlignment="1">
      <alignment horizontal="center"/>
    </xf>
    <xf numFmtId="0" fontId="0" fillId="3" borderId="2" xfId="0" applyFill="1" applyBorder="1" applyAlignment="1" applyProtection="1">
      <alignment horizontal="center"/>
      <protection hidden="1"/>
    </xf>
    <xf numFmtId="0" fontId="15" fillId="0" borderId="26" xfId="0" applyFont="1" applyBorder="1" applyAlignment="1" applyProtection="1">
      <alignment horizontal="right"/>
      <protection hidden="1"/>
    </xf>
    <xf numFmtId="0" fontId="15" fillId="0" borderId="0" xfId="0" applyFont="1" applyBorder="1" applyAlignment="1"/>
    <xf numFmtId="0" fontId="15" fillId="0" borderId="26" xfId="0" applyFont="1" applyBorder="1" applyAlignment="1"/>
    <xf numFmtId="0" fontId="4" fillId="3" borderId="43" xfId="0" applyFont="1" applyFill="1" applyBorder="1" applyAlignment="1" applyProtection="1">
      <alignment horizontal="center"/>
      <protection hidden="1"/>
    </xf>
    <xf numFmtId="0" fontId="0" fillId="3" borderId="39" xfId="0" applyFill="1" applyBorder="1" applyAlignment="1">
      <alignment horizontal="center"/>
    </xf>
    <xf numFmtId="0" fontId="3" fillId="3" borderId="42" xfId="0" applyFont="1" applyFill="1" applyBorder="1" applyAlignment="1" applyProtection="1">
      <alignment horizontal="center"/>
      <protection locked="0"/>
    </xf>
    <xf numFmtId="0" fontId="3" fillId="3" borderId="11" xfId="0" applyFont="1" applyFill="1" applyBorder="1" applyAlignment="1" applyProtection="1">
      <alignment horizontal="center"/>
      <protection locked="0"/>
    </xf>
    <xf numFmtId="0" fontId="3" fillId="3" borderId="29" xfId="0" applyFont="1" applyFill="1" applyBorder="1" applyAlignment="1" applyProtection="1">
      <alignment horizontal="center"/>
      <protection locked="0"/>
    </xf>
    <xf numFmtId="0" fontId="3" fillId="3" borderId="38" xfId="0" applyFont="1" applyFill="1" applyBorder="1" applyAlignment="1">
      <alignment horizontal="center"/>
    </xf>
    <xf numFmtId="0" fontId="3" fillId="3" borderId="39" xfId="0" applyFont="1" applyFill="1" applyBorder="1" applyAlignment="1">
      <alignment horizontal="center"/>
    </xf>
    <xf numFmtId="0" fontId="4" fillId="3" borderId="40" xfId="0" applyFont="1" applyFill="1" applyBorder="1" applyAlignment="1" applyProtection="1">
      <alignment horizontal="center"/>
      <protection hidden="1"/>
    </xf>
    <xf numFmtId="0" fontId="0" fillId="3" borderId="10" xfId="0" applyFill="1" applyBorder="1" applyAlignment="1">
      <alignment horizontal="center"/>
    </xf>
    <xf numFmtId="0" fontId="3" fillId="3" borderId="13" xfId="0" applyFont="1" applyFill="1" applyBorder="1" applyAlignment="1">
      <alignment horizontal="center"/>
    </xf>
    <xf numFmtId="0" fontId="3" fillId="3" borderId="37" xfId="0" applyFont="1" applyFill="1" applyBorder="1" applyAlignment="1">
      <alignment horizontal="center"/>
    </xf>
    <xf numFmtId="0" fontId="3" fillId="3" borderId="10" xfId="0" applyFont="1" applyFill="1" applyBorder="1" applyAlignment="1">
      <alignment horizontal="center"/>
    </xf>
    <xf numFmtId="0" fontId="4" fillId="3" borderId="41" xfId="0" applyFont="1" applyFill="1" applyBorder="1" applyAlignment="1" applyProtection="1">
      <alignment horizontal="center"/>
      <protection hidden="1"/>
    </xf>
    <xf numFmtId="0" fontId="0" fillId="3" borderId="11" xfId="0" applyFill="1" applyBorder="1" applyAlignment="1">
      <alignment horizontal="center"/>
    </xf>
    <xf numFmtId="2" fontId="3" fillId="0" borderId="64" xfId="0" applyNumberFormat="1" applyFont="1" applyBorder="1" applyAlignment="1">
      <alignment horizontal="center"/>
    </xf>
    <xf numFmtId="2" fontId="3" fillId="0" borderId="0" xfId="0" applyNumberFormat="1" applyFont="1" applyBorder="1" applyAlignment="1">
      <alignment horizontal="center"/>
    </xf>
    <xf numFmtId="2" fontId="3" fillId="0" borderId="57" xfId="0" applyNumberFormat="1" applyFont="1" applyBorder="1" applyAlignment="1">
      <alignment horizontal="center"/>
    </xf>
    <xf numFmtId="0" fontId="1" fillId="0" borderId="50" xfId="0" applyFont="1" applyFill="1" applyBorder="1" applyAlignment="1" applyProtection="1">
      <alignment horizontal="center"/>
      <protection hidden="1"/>
    </xf>
    <xf numFmtId="0" fontId="1" fillId="0" borderId="52" xfId="0" applyFont="1" applyFill="1" applyBorder="1" applyAlignment="1" applyProtection="1">
      <alignment horizontal="center"/>
      <protection hidden="1"/>
    </xf>
    <xf numFmtId="0" fontId="0" fillId="0" borderId="32" xfId="0" applyFill="1" applyBorder="1" applyAlignment="1" applyProtection="1">
      <alignment horizontal="center"/>
      <protection hidden="1"/>
    </xf>
    <xf numFmtId="0" fontId="3" fillId="0" borderId="47" xfId="0" applyFont="1" applyFill="1" applyBorder="1" applyAlignment="1" applyProtection="1">
      <alignment horizontal="right"/>
      <protection hidden="1"/>
    </xf>
    <xf numFmtId="0" fontId="3" fillId="0" borderId="48" xfId="0" applyFont="1" applyFill="1" applyBorder="1" applyAlignment="1">
      <alignment horizontal="right"/>
    </xf>
    <xf numFmtId="0" fontId="1" fillId="0" borderId="54" xfId="0" applyFont="1" applyFill="1" applyBorder="1" applyAlignment="1" applyProtection="1">
      <alignment horizontal="center"/>
      <protection hidden="1"/>
    </xf>
    <xf numFmtId="0" fontId="1" fillId="0" borderId="16" xfId="0" applyFont="1" applyFill="1" applyBorder="1" applyAlignment="1" applyProtection="1">
      <alignment horizontal="center"/>
      <protection hidden="1"/>
    </xf>
  </cellXfs>
  <cellStyles count="1">
    <cellStyle name="Normal" xfId="0" builtinId="0"/>
  </cellStyles>
  <dxfs count="10">
    <dxf>
      <fill>
        <patternFill>
          <bgColor indexed="34"/>
        </patternFill>
      </fill>
    </dxf>
    <dxf>
      <fill>
        <patternFill>
          <bgColor indexed="13"/>
        </patternFill>
      </fill>
    </dxf>
    <dxf>
      <fill>
        <patternFill>
          <bgColor indexed="34"/>
        </patternFill>
      </fill>
    </dxf>
    <dxf>
      <fill>
        <patternFill>
          <bgColor indexed="34"/>
        </patternFill>
      </fill>
    </dxf>
    <dxf>
      <font>
        <b/>
        <i val="0"/>
        <condense val="0"/>
        <extend val="0"/>
        <color indexed="9"/>
      </font>
      <fill>
        <patternFill>
          <bgColor indexed="10"/>
        </patternFill>
      </fill>
    </dxf>
    <dxf>
      <font>
        <b/>
        <i val="0"/>
        <condense val="0"/>
        <extend val="0"/>
        <color indexed="9"/>
      </font>
      <fill>
        <patternFill>
          <bgColor indexed="17"/>
        </patternFill>
      </fill>
    </dxf>
    <dxf>
      <fill>
        <patternFill>
          <bgColor indexed="10"/>
        </patternFill>
      </fill>
    </dxf>
    <dxf>
      <font>
        <condense val="0"/>
        <extend val="0"/>
        <color indexed="9"/>
      </font>
      <fill>
        <patternFill>
          <bgColor indexed="10"/>
        </patternFill>
      </fill>
    </dxf>
    <dxf>
      <font>
        <condense val="0"/>
        <extend val="0"/>
        <color indexed="9"/>
      </font>
      <fill>
        <patternFill>
          <bgColor indexed="17"/>
        </patternFill>
      </fill>
    </dxf>
    <dxf>
      <fill>
        <patternFill>
          <bgColor indexed="34"/>
        </patternFill>
      </fill>
    </dxf>
  </dxfs>
  <tableStyles count="0" defaultTableStyle="TableStyleMedium9" defaultPivotStyle="PivotStyleLight16"/>
  <colors>
    <mruColors>
      <color rgb="FFFCFDC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125095367755032"/>
          <c:y val="0.12927756653992395"/>
          <c:w val="0.65972445924363821"/>
          <c:h val="0.53231939163498099"/>
        </c:manualLayout>
      </c:layout>
      <c:lineChart>
        <c:grouping val="standard"/>
        <c:varyColors val="0"/>
        <c:ser>
          <c:idx val="1"/>
          <c:order val="0"/>
          <c:tx>
            <c:v>Minimum</c:v>
          </c:tx>
          <c:spPr>
            <a:ln w="12700">
              <a:solidFill>
                <a:srgbClr val="FF0000"/>
              </a:solidFill>
              <a:prstDash val="solid"/>
            </a:ln>
          </c:spPr>
          <c:marker>
            <c:symbol val="square"/>
            <c:size val="5"/>
            <c:spPr>
              <a:solidFill>
                <a:srgbClr val="FF00FF"/>
              </a:solidFill>
              <a:ln>
                <a:solidFill>
                  <a:srgbClr val="FF0000"/>
                </a:solidFill>
                <a:prstDash val="solid"/>
              </a:ln>
            </c:spPr>
          </c:marker>
          <c:cat>
            <c:numRef>
              <c:f>Report!$M$5:$M$12</c:f>
              <c:numCache>
                <c:formatCode>General</c:formatCode>
                <c:ptCount val="8"/>
                <c:pt idx="0">
                  <c:v>40</c:v>
                </c:pt>
                <c:pt idx="1">
                  <c:v>50</c:v>
                </c:pt>
                <c:pt idx="2">
                  <c:v>60</c:v>
                </c:pt>
                <c:pt idx="3">
                  <c:v>70</c:v>
                </c:pt>
                <c:pt idx="4">
                  <c:v>80</c:v>
                </c:pt>
                <c:pt idx="5">
                  <c:v>90</c:v>
                </c:pt>
                <c:pt idx="6">
                  <c:v>100</c:v>
                </c:pt>
                <c:pt idx="7">
                  <c:v>110</c:v>
                </c:pt>
              </c:numCache>
            </c:numRef>
          </c:cat>
          <c:val>
            <c:numRef>
              <c:f>Report!$N$5:$N$12</c:f>
              <c:numCache>
                <c:formatCode>General</c:formatCode>
                <c:ptCount val="8"/>
                <c:pt idx="0">
                  <c:v>1.5</c:v>
                </c:pt>
                <c:pt idx="1">
                  <c:v>1.7</c:v>
                </c:pt>
                <c:pt idx="2">
                  <c:v>2</c:v>
                </c:pt>
                <c:pt idx="3">
                  <c:v>2.2999999999999998</c:v>
                </c:pt>
                <c:pt idx="4">
                  <c:v>2.5</c:v>
                </c:pt>
                <c:pt idx="5">
                  <c:v>2.9</c:v>
                </c:pt>
                <c:pt idx="6">
                  <c:v>3.1</c:v>
                </c:pt>
                <c:pt idx="7">
                  <c:v>3.2</c:v>
                </c:pt>
              </c:numCache>
            </c:numRef>
          </c:val>
          <c:smooth val="0"/>
        </c:ser>
        <c:ser>
          <c:idx val="0"/>
          <c:order val="1"/>
          <c:tx>
            <c:v>Measured</c:v>
          </c:tx>
          <c:spPr>
            <a:ln w="28575">
              <a:noFill/>
            </a:ln>
          </c:spPr>
          <c:marker>
            <c:symbol val="diamond"/>
            <c:size val="10"/>
            <c:spPr>
              <a:solidFill>
                <a:srgbClr val="000080"/>
              </a:solidFill>
              <a:ln>
                <a:solidFill>
                  <a:srgbClr val="000080"/>
                </a:solidFill>
                <a:prstDash val="solid"/>
              </a:ln>
            </c:spPr>
          </c:marker>
          <c:cat>
            <c:numRef>
              <c:f>Report!$M$5:$M$12</c:f>
              <c:numCache>
                <c:formatCode>General</c:formatCode>
                <c:ptCount val="8"/>
                <c:pt idx="0">
                  <c:v>40</c:v>
                </c:pt>
                <c:pt idx="1">
                  <c:v>50</c:v>
                </c:pt>
                <c:pt idx="2">
                  <c:v>60</c:v>
                </c:pt>
                <c:pt idx="3">
                  <c:v>70</c:v>
                </c:pt>
                <c:pt idx="4">
                  <c:v>80</c:v>
                </c:pt>
                <c:pt idx="5">
                  <c:v>90</c:v>
                </c:pt>
                <c:pt idx="6">
                  <c:v>100</c:v>
                </c:pt>
                <c:pt idx="7">
                  <c:v>110</c:v>
                </c:pt>
              </c:numCache>
            </c:numRef>
          </c:cat>
          <c:val>
            <c:numRef>
              <c:f>Report!$O$5:$O$12</c:f>
              <c:numCache>
                <c:formatCode>General</c:formatCode>
                <c:ptCount val="8"/>
                <c:pt idx="0">
                  <c:v>-1</c:v>
                </c:pt>
                <c:pt idx="1">
                  <c:v>-1</c:v>
                </c:pt>
                <c:pt idx="2">
                  <c:v>-1</c:v>
                </c:pt>
                <c:pt idx="3">
                  <c:v>-1</c:v>
                </c:pt>
                <c:pt idx="4">
                  <c:v>-1</c:v>
                </c:pt>
                <c:pt idx="5">
                  <c:v>-1</c:v>
                </c:pt>
                <c:pt idx="6">
                  <c:v>-1</c:v>
                </c:pt>
                <c:pt idx="7">
                  <c:v>-1</c:v>
                </c:pt>
              </c:numCache>
            </c:numRef>
          </c:val>
          <c:smooth val="0"/>
        </c:ser>
        <c:dLbls>
          <c:showLegendKey val="0"/>
          <c:showVal val="0"/>
          <c:showCatName val="0"/>
          <c:showSerName val="0"/>
          <c:showPercent val="0"/>
          <c:showBubbleSize val="0"/>
        </c:dLbls>
        <c:marker val="1"/>
        <c:smooth val="0"/>
        <c:axId val="108738048"/>
        <c:axId val="108739584"/>
      </c:lineChart>
      <c:catAx>
        <c:axId val="108738048"/>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kVp</a:t>
                </a:r>
              </a:p>
            </c:rich>
          </c:tx>
          <c:layout>
            <c:manualLayout>
              <c:xMode val="edge"/>
              <c:yMode val="edge"/>
              <c:x val="0.56250190735510064"/>
              <c:y val="0.7794676806083650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08739584"/>
        <c:crosses val="autoZero"/>
        <c:auto val="0"/>
        <c:lblAlgn val="ctr"/>
        <c:lblOffset val="100"/>
        <c:tickLblSkip val="1"/>
        <c:tickMarkSkip val="1"/>
        <c:noMultiLvlLbl val="0"/>
      </c:catAx>
      <c:valAx>
        <c:axId val="108739584"/>
        <c:scaling>
          <c:orientation val="minMax"/>
          <c:min val="0"/>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mm Al</a:t>
                </a:r>
              </a:p>
            </c:rich>
          </c:tx>
          <c:layout>
            <c:manualLayout>
              <c:xMode val="edge"/>
              <c:yMode val="edge"/>
              <c:x val="9.7222551888535819E-2"/>
              <c:y val="0.3117870722433466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08738048"/>
        <c:crosses val="autoZero"/>
        <c:crossBetween val="midCat"/>
      </c:valAx>
      <c:spPr>
        <a:noFill/>
        <a:ln w="12700">
          <a:solidFill>
            <a:srgbClr val="808080"/>
          </a:solidFill>
          <a:prstDash val="solid"/>
        </a:ln>
      </c:spPr>
    </c:plotArea>
    <c:legend>
      <c:legendPos val="r"/>
      <c:layout>
        <c:manualLayout>
          <c:xMode val="edge"/>
          <c:yMode val="edge"/>
          <c:x val="0.26388978369745569"/>
          <c:y val="0.86692015209125473"/>
          <c:w val="0.64930775725558076"/>
          <c:h val="9.125475285171103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22" r="0.75000000000000122" t="1" header="0.5" footer="0.5"/>
    <c:pageSetup/>
  </c:printSettings>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333375</xdr:colOff>
      <xdr:row>25</xdr:row>
      <xdr:rowOff>28575</xdr:rowOff>
    </xdr:from>
    <xdr:ext cx="4333875" cy="4513415"/>
    <xdr:sp macro="" textlink="">
      <xdr:nvSpPr>
        <xdr:cNvPr id="2" name="TextBox 1"/>
        <xdr:cNvSpPr txBox="1"/>
      </xdr:nvSpPr>
      <xdr:spPr>
        <a:xfrm>
          <a:off x="1019175" y="4238625"/>
          <a:ext cx="4333875" cy="4513415"/>
        </a:xfrm>
        <a:prstGeom prst="rect">
          <a:avLst/>
        </a:prstGeom>
        <a:solidFill>
          <a:srgbClr val="FCFDCB">
            <a:alpha val="26000"/>
          </a:srgbClr>
        </a:solidFill>
        <a:ln w="254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a:solidFill>
                <a:schemeClr val="tx1"/>
              </a:solidFill>
              <a:effectLst/>
              <a:latin typeface="Arial" pitchFamily="34" charset="0"/>
              <a:ea typeface="+mn-ea"/>
              <a:cs typeface="Arial" pitchFamily="34" charset="0"/>
            </a:rPr>
            <a:t>This Spreadsheet is designed for use with RaySafe Xi/Solo instruments and Xi View software or RaySafe X2 instrument and X2 View software.</a:t>
          </a:r>
        </a:p>
        <a:p>
          <a:r>
            <a:rPr lang="en-US" sz="1200">
              <a:solidFill>
                <a:schemeClr val="tx1"/>
              </a:solidFill>
              <a:effectLst/>
              <a:latin typeface="Arial" pitchFamily="34" charset="0"/>
              <a:ea typeface="+mn-ea"/>
              <a:cs typeface="Arial" pitchFamily="34" charset="0"/>
            </a:rPr>
            <a:t>It will calculate kVp accuracy, dose and time reproducibility and report HVL.</a:t>
          </a:r>
        </a:p>
        <a:p>
          <a:r>
            <a:rPr lang="en-US" sz="1200">
              <a:solidFill>
                <a:schemeClr val="tx1"/>
              </a:solidFill>
              <a:effectLst/>
              <a:latin typeface="Arial" pitchFamily="34" charset="0"/>
              <a:ea typeface="+mn-ea"/>
              <a:cs typeface="Arial" pitchFamily="34" charset="0"/>
            </a:rPr>
            <a:t> </a:t>
          </a:r>
        </a:p>
        <a:p>
          <a:r>
            <a:rPr lang="en-US" sz="1200">
              <a:solidFill>
                <a:schemeClr val="tx1"/>
              </a:solidFill>
              <a:effectLst/>
              <a:latin typeface="Arial" pitchFamily="34" charset="0"/>
              <a:ea typeface="+mn-ea"/>
              <a:cs typeface="Arial" pitchFamily="34" charset="0"/>
            </a:rPr>
            <a:t>To use this spreadsheet, begin by entering the preset exposure conditions on this sheet in the yellow cells. After entering set values the cell will turn white and the values will be automatically entered into the next rows.</a:t>
          </a:r>
        </a:p>
        <a:p>
          <a:r>
            <a:rPr lang="en-US" sz="1200">
              <a:solidFill>
                <a:schemeClr val="tx1"/>
              </a:solidFill>
              <a:effectLst/>
              <a:latin typeface="Arial" pitchFamily="34" charset="0"/>
              <a:ea typeface="+mn-ea"/>
              <a:cs typeface="Arial" pitchFamily="34" charset="0"/>
            </a:rPr>
            <a:t> </a:t>
          </a:r>
        </a:p>
        <a:p>
          <a:r>
            <a:rPr lang="en-US" sz="1200">
              <a:solidFill>
                <a:schemeClr val="tx1"/>
              </a:solidFill>
              <a:effectLst/>
              <a:latin typeface="Arial" pitchFamily="34" charset="0"/>
              <a:ea typeface="+mn-ea"/>
              <a:cs typeface="Arial" pitchFamily="34" charset="0"/>
            </a:rPr>
            <a:t>Start Xi View or X2 View and click in the first kVp cell (E3) in this sheet (Data) so that it is active.</a:t>
          </a:r>
        </a:p>
        <a:p>
          <a:r>
            <a:rPr lang="en-US" sz="1200">
              <a:solidFill>
                <a:schemeClr val="tx1"/>
              </a:solidFill>
              <a:effectLst/>
              <a:latin typeface="Arial" pitchFamily="34" charset="0"/>
              <a:ea typeface="+mn-ea"/>
              <a:cs typeface="Arial" pitchFamily="34" charset="0"/>
            </a:rPr>
            <a:t>Then select “get active cell” in Xi View or X2 View and make sure the RaySafe software have found the Data sheet and cell E3. Measurement data from the instrument will be transmitted through Xi/X2 View to this worksheet and the “Report worksheet” will be automatically updated.</a:t>
          </a:r>
        </a:p>
        <a:p>
          <a:r>
            <a:rPr lang="en-US" sz="1200">
              <a:solidFill>
                <a:schemeClr val="tx1"/>
              </a:solidFill>
              <a:effectLst/>
              <a:latin typeface="Arial" pitchFamily="34" charset="0"/>
              <a:ea typeface="+mn-ea"/>
              <a:cs typeface="Arial" pitchFamily="34" charset="0"/>
            </a:rPr>
            <a:t> </a:t>
          </a:r>
        </a:p>
        <a:p>
          <a:r>
            <a:rPr lang="en-US" sz="1200">
              <a:solidFill>
                <a:schemeClr val="tx1"/>
              </a:solidFill>
              <a:effectLst/>
              <a:latin typeface="Arial" pitchFamily="34" charset="0"/>
              <a:ea typeface="+mn-ea"/>
              <a:cs typeface="Arial" pitchFamily="34" charset="0"/>
            </a:rPr>
            <a:t>After you have finished collecting data, click on the “Report” worksheet tab. You must manually enter the data into each of the yellow colored cells. When you have finished, save the workbook using the “Save As” option in the “File” menu. Remember to name the workbook with a new name. </a:t>
          </a:r>
        </a:p>
        <a:p>
          <a:endParaRPr lang="en-US" sz="11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4</xdr:col>
      <xdr:colOff>571500</xdr:colOff>
      <xdr:row>51</xdr:row>
      <xdr:rowOff>28575</xdr:rowOff>
    </xdr:from>
    <xdr:to>
      <xdr:col>8</xdr:col>
      <xdr:colOff>647700</xdr:colOff>
      <xdr:row>66</xdr:row>
      <xdr:rowOff>104775</xdr:rowOff>
    </xdr:to>
    <xdr:graphicFrame macro="">
      <xdr:nvGraphicFramePr>
        <xdr:cNvPr id="1051"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476250</xdr:colOff>
          <xdr:row>19</xdr:row>
          <xdr:rowOff>133350</xdr:rowOff>
        </xdr:from>
        <xdr:to>
          <xdr:col>3</xdr:col>
          <xdr:colOff>114300</xdr:colOff>
          <xdr:row>21</xdr:row>
          <xdr:rowOff>28575</xdr:rowOff>
        </xdr:to>
        <xdr:sp macro="" textlink="">
          <xdr:nvSpPr>
            <xdr:cNvPr id="4097" name="Check Box 1"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20</xdr:row>
          <xdr:rowOff>133350</xdr:rowOff>
        </xdr:from>
        <xdr:to>
          <xdr:col>3</xdr:col>
          <xdr:colOff>114300</xdr:colOff>
          <xdr:row>22</xdr:row>
          <xdr:rowOff>28575</xdr:rowOff>
        </xdr:to>
        <xdr:sp macro="" textlink="">
          <xdr:nvSpPr>
            <xdr:cNvPr id="4098" name="Check Box 2"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21</xdr:row>
          <xdr:rowOff>133350</xdr:rowOff>
        </xdr:from>
        <xdr:to>
          <xdr:col>3</xdr:col>
          <xdr:colOff>114300</xdr:colOff>
          <xdr:row>23</xdr:row>
          <xdr:rowOff>28575</xdr:rowOff>
        </xdr:to>
        <xdr:sp macro="" textlink="">
          <xdr:nvSpPr>
            <xdr:cNvPr id="4099" name="Check Box 3" hidden="1">
              <a:extLst>
                <a:ext uri="{63B3BB69-23CF-44E3-9099-C40C66FF867C}">
                  <a14:compatExt spid="_x0000_s4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22</xdr:row>
          <xdr:rowOff>133350</xdr:rowOff>
        </xdr:from>
        <xdr:to>
          <xdr:col>3</xdr:col>
          <xdr:colOff>114300</xdr:colOff>
          <xdr:row>24</xdr:row>
          <xdr:rowOff>28575</xdr:rowOff>
        </xdr:to>
        <xdr:sp macro="" textlink="">
          <xdr:nvSpPr>
            <xdr:cNvPr id="4100" name="Check Box 4" hidden="1">
              <a:extLst>
                <a:ext uri="{63B3BB69-23CF-44E3-9099-C40C66FF867C}">
                  <a14:compatExt spid="_x0000_s4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23</xdr:row>
          <xdr:rowOff>123825</xdr:rowOff>
        </xdr:from>
        <xdr:to>
          <xdr:col>3</xdr:col>
          <xdr:colOff>114300</xdr:colOff>
          <xdr:row>25</xdr:row>
          <xdr:rowOff>19050</xdr:rowOff>
        </xdr:to>
        <xdr:sp macro="" textlink="">
          <xdr:nvSpPr>
            <xdr:cNvPr id="4101" name="Check Box 5" hidden="1">
              <a:extLst>
                <a:ext uri="{63B3BB69-23CF-44E3-9099-C40C66FF867C}">
                  <a14:compatExt spid="_x0000_s4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476250</xdr:colOff>
          <xdr:row>19</xdr:row>
          <xdr:rowOff>133350</xdr:rowOff>
        </xdr:from>
        <xdr:to>
          <xdr:col>6</xdr:col>
          <xdr:colOff>47625</xdr:colOff>
          <xdr:row>21</xdr:row>
          <xdr:rowOff>28575</xdr:rowOff>
        </xdr:to>
        <xdr:sp macro="" textlink="">
          <xdr:nvSpPr>
            <xdr:cNvPr id="4102" name="Check Box 6" hidden="1">
              <a:extLst>
                <a:ext uri="{63B3BB69-23CF-44E3-9099-C40C66FF867C}">
                  <a14:compatExt spid="_x0000_s4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476250</xdr:colOff>
          <xdr:row>20</xdr:row>
          <xdr:rowOff>133350</xdr:rowOff>
        </xdr:from>
        <xdr:to>
          <xdr:col>6</xdr:col>
          <xdr:colOff>47625</xdr:colOff>
          <xdr:row>22</xdr:row>
          <xdr:rowOff>28575</xdr:rowOff>
        </xdr:to>
        <xdr:sp macro="" textlink="">
          <xdr:nvSpPr>
            <xdr:cNvPr id="4103" name="Check Box 7" hidden="1">
              <a:extLst>
                <a:ext uri="{63B3BB69-23CF-44E3-9099-C40C66FF867C}">
                  <a14:compatExt spid="_x0000_s4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476250</xdr:colOff>
          <xdr:row>21</xdr:row>
          <xdr:rowOff>133350</xdr:rowOff>
        </xdr:from>
        <xdr:to>
          <xdr:col>6</xdr:col>
          <xdr:colOff>47625</xdr:colOff>
          <xdr:row>23</xdr:row>
          <xdr:rowOff>28575</xdr:rowOff>
        </xdr:to>
        <xdr:sp macro="" textlink="">
          <xdr:nvSpPr>
            <xdr:cNvPr id="4104" name="Check Box 8" hidden="1">
              <a:extLst>
                <a:ext uri="{63B3BB69-23CF-44E3-9099-C40C66FF867C}">
                  <a14:compatExt spid="_x0000_s4104"/>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DK692"/>
  <sheetViews>
    <sheetView tabSelected="1" zoomScaleNormal="100" workbookViewId="0">
      <selection activeCell="B3" sqref="B3"/>
    </sheetView>
  </sheetViews>
  <sheetFormatPr defaultRowHeight="12.75" x14ac:dyDescent="0.2"/>
  <cols>
    <col min="1" max="1" width="1.140625" style="154" customWidth="1"/>
    <col min="5" max="5" width="10.7109375" customWidth="1"/>
    <col min="6" max="6" width="5.42578125" customWidth="1"/>
    <col min="7" max="7" width="10.5703125" customWidth="1"/>
    <col min="8" max="8" width="6.140625" customWidth="1"/>
    <col min="10" max="10" width="7" customWidth="1"/>
    <col min="11" max="11" width="9.28515625" customWidth="1"/>
    <col min="12" max="12" width="4.7109375" customWidth="1"/>
    <col min="13" max="13" width="5.140625" customWidth="1"/>
    <col min="14" max="14" width="5.42578125" customWidth="1"/>
    <col min="15" max="15" width="1.7109375" customWidth="1"/>
    <col min="16" max="16" width="2" customWidth="1"/>
    <col min="17" max="17" width="11.85546875" customWidth="1"/>
    <col min="19" max="19" width="10.85546875" customWidth="1"/>
    <col min="20" max="20" width="9.85546875" customWidth="1"/>
    <col min="25" max="25" width="11.85546875" customWidth="1"/>
    <col min="26" max="26" width="14.85546875" customWidth="1"/>
    <col min="27" max="27" width="12.140625" customWidth="1"/>
    <col min="28" max="28" width="14" customWidth="1"/>
    <col min="29" max="29" width="13.85546875" customWidth="1"/>
    <col min="30" max="30" width="12.5703125" customWidth="1"/>
    <col min="31" max="31" width="13.42578125" customWidth="1"/>
    <col min="32" max="32" width="14.140625" customWidth="1"/>
    <col min="33" max="33" width="15.28515625" customWidth="1"/>
    <col min="34" max="115" width="9.140625" style="154"/>
  </cols>
  <sheetData>
    <row r="1" spans="1:115" s="154" customFormat="1" ht="13.5" thickBot="1" x14ac:dyDescent="0.25">
      <c r="B1" s="260" t="s">
        <v>20</v>
      </c>
      <c r="C1" s="255"/>
      <c r="D1" s="254"/>
      <c r="E1" s="256" t="s">
        <v>67</v>
      </c>
      <c r="F1" s="254"/>
      <c r="G1" s="254"/>
      <c r="H1" s="254"/>
      <c r="I1" s="254"/>
      <c r="J1" s="254"/>
      <c r="K1" s="254"/>
      <c r="L1" s="254"/>
      <c r="M1" s="254"/>
      <c r="N1" s="254"/>
      <c r="O1" s="254"/>
      <c r="P1" s="254"/>
    </row>
    <row r="2" spans="1:115" ht="13.5" thickBot="1" x14ac:dyDescent="0.25">
      <c r="B2" s="223" t="s">
        <v>21</v>
      </c>
      <c r="C2" s="224" t="s">
        <v>22</v>
      </c>
      <c r="D2" s="224" t="s">
        <v>37</v>
      </c>
      <c r="E2" s="225" t="s">
        <v>12</v>
      </c>
      <c r="F2" s="225" t="s">
        <v>25</v>
      </c>
      <c r="G2" s="225" t="s">
        <v>24</v>
      </c>
      <c r="H2" s="225" t="s">
        <v>25</v>
      </c>
      <c r="I2" s="225" t="s">
        <v>27</v>
      </c>
      <c r="J2" s="225" t="s">
        <v>25</v>
      </c>
      <c r="K2" s="225" t="s">
        <v>26</v>
      </c>
      <c r="L2" s="225" t="s">
        <v>25</v>
      </c>
      <c r="M2" s="290" t="s">
        <v>28</v>
      </c>
      <c r="N2" s="290"/>
      <c r="O2" s="226"/>
      <c r="P2" s="226"/>
      <c r="Q2" s="226" t="s">
        <v>32</v>
      </c>
      <c r="R2" s="226" t="s">
        <v>25</v>
      </c>
      <c r="S2" s="226" t="s">
        <v>31</v>
      </c>
      <c r="T2" s="226" t="s">
        <v>25</v>
      </c>
      <c r="U2" s="226" t="s">
        <v>33</v>
      </c>
      <c r="V2" s="226" t="s">
        <v>25</v>
      </c>
      <c r="W2" s="227" t="s">
        <v>47</v>
      </c>
      <c r="X2" s="227" t="s">
        <v>25</v>
      </c>
      <c r="Y2" s="226" t="s">
        <v>23</v>
      </c>
      <c r="Z2" s="226" t="s">
        <v>34</v>
      </c>
      <c r="AA2" s="226" t="s">
        <v>35</v>
      </c>
      <c r="AB2" s="225" t="s">
        <v>11</v>
      </c>
      <c r="AC2" s="220" t="s">
        <v>62</v>
      </c>
      <c r="AD2" s="221" t="s">
        <v>63</v>
      </c>
      <c r="AE2" s="221" t="s">
        <v>64</v>
      </c>
      <c r="AF2" s="221" t="s">
        <v>65</v>
      </c>
      <c r="AG2" s="222" t="s">
        <v>66</v>
      </c>
    </row>
    <row r="3" spans="1:115" ht="13.5" thickTop="1" x14ac:dyDescent="0.2">
      <c r="B3" s="228"/>
      <c r="C3" s="8"/>
      <c r="D3" s="8"/>
      <c r="E3" s="9"/>
      <c r="F3" s="10"/>
      <c r="G3" s="13"/>
      <c r="H3" s="10"/>
      <c r="I3" s="13"/>
      <c r="J3" s="10"/>
      <c r="K3" s="16"/>
      <c r="L3" s="10"/>
      <c r="M3" s="16"/>
      <c r="N3" s="10"/>
      <c r="O3" s="98"/>
      <c r="P3" s="98"/>
      <c r="Q3" s="17"/>
      <c r="R3" s="18"/>
      <c r="S3" s="21"/>
      <c r="T3" s="18"/>
      <c r="U3" s="27"/>
      <c r="V3" s="18"/>
      <c r="W3" s="18"/>
      <c r="X3" s="18"/>
      <c r="Y3" s="23"/>
      <c r="Z3" s="24"/>
      <c r="AA3" s="241"/>
      <c r="AB3" s="246"/>
      <c r="AC3" s="246"/>
      <c r="AD3" s="246"/>
      <c r="AE3" s="246"/>
      <c r="AF3" s="246"/>
      <c r="AG3" s="248"/>
    </row>
    <row r="4" spans="1:115" x14ac:dyDescent="0.2">
      <c r="B4" s="229">
        <f>$B$3</f>
        <v>0</v>
      </c>
      <c r="C4" s="4">
        <f>C$3</f>
        <v>0</v>
      </c>
      <c r="D4" s="4">
        <f>$D$3</f>
        <v>0</v>
      </c>
      <c r="E4" s="12"/>
      <c r="F4" s="11"/>
      <c r="G4" s="15"/>
      <c r="H4" s="11"/>
      <c r="I4" s="15"/>
      <c r="J4" s="11"/>
      <c r="K4" s="14"/>
      <c r="L4" s="11"/>
      <c r="M4" s="14"/>
      <c r="N4" s="11"/>
      <c r="O4" s="99"/>
      <c r="P4" s="99"/>
      <c r="Q4" s="19"/>
      <c r="R4" s="20"/>
      <c r="S4" s="22"/>
      <c r="T4" s="20"/>
      <c r="U4" s="28"/>
      <c r="V4" s="20"/>
      <c r="W4" s="20"/>
      <c r="X4" s="20"/>
      <c r="Y4" s="26"/>
      <c r="Z4" s="25"/>
      <c r="AA4" s="242"/>
      <c r="AB4" s="246"/>
      <c r="AC4" s="246"/>
      <c r="AD4" s="246"/>
      <c r="AE4" s="246"/>
      <c r="AF4" s="246"/>
      <c r="AG4" s="248"/>
    </row>
    <row r="5" spans="1:115" x14ac:dyDescent="0.2">
      <c r="B5" s="229">
        <f>$B$3</f>
        <v>0</v>
      </c>
      <c r="C5" s="4">
        <f>C$3</f>
        <v>0</v>
      </c>
      <c r="D5" s="4">
        <f t="shared" ref="D5:D9" si="0">$D$3</f>
        <v>0</v>
      </c>
      <c r="E5" s="12"/>
      <c r="F5" s="11"/>
      <c r="G5" s="15"/>
      <c r="H5" s="11"/>
      <c r="I5" s="15"/>
      <c r="J5" s="11"/>
      <c r="K5" s="14"/>
      <c r="L5" s="11"/>
      <c r="M5" s="14"/>
      <c r="N5" s="11"/>
      <c r="O5" s="99"/>
      <c r="P5" s="99"/>
      <c r="Q5" s="19"/>
      <c r="R5" s="20"/>
      <c r="S5" s="22"/>
      <c r="T5" s="20"/>
      <c r="U5" s="28"/>
      <c r="V5" s="20"/>
      <c r="W5" s="20"/>
      <c r="X5" s="20"/>
      <c r="Y5" s="26"/>
      <c r="Z5" s="25"/>
      <c r="AA5" s="242"/>
      <c r="AB5" s="246"/>
      <c r="AC5" s="246"/>
      <c r="AD5" s="246"/>
      <c r="AE5" s="246"/>
      <c r="AF5" s="246"/>
      <c r="AG5" s="248"/>
    </row>
    <row r="6" spans="1:115" s="1" customFormat="1" x14ac:dyDescent="0.2">
      <c r="A6" s="155"/>
      <c r="B6" s="229">
        <f>$B$3</f>
        <v>0</v>
      </c>
      <c r="C6" s="4">
        <f>C$3</f>
        <v>0</v>
      </c>
      <c r="D6" s="4">
        <f t="shared" si="0"/>
        <v>0</v>
      </c>
      <c r="E6" s="12"/>
      <c r="F6" s="11"/>
      <c r="G6" s="15"/>
      <c r="H6" s="11"/>
      <c r="I6" s="15"/>
      <c r="J6" s="11"/>
      <c r="K6" s="14"/>
      <c r="L6" s="11"/>
      <c r="M6" s="14"/>
      <c r="N6" s="11"/>
      <c r="O6" s="99"/>
      <c r="P6" s="99"/>
      <c r="Q6" s="19"/>
      <c r="R6" s="20"/>
      <c r="S6" s="22"/>
      <c r="T6" s="20"/>
      <c r="U6" s="29"/>
      <c r="V6" s="20"/>
      <c r="W6" s="20"/>
      <c r="X6" s="20"/>
      <c r="Y6" s="26"/>
      <c r="Z6" s="25"/>
      <c r="AA6" s="242"/>
      <c r="AB6" s="246"/>
      <c r="AC6" s="246"/>
      <c r="AD6" s="246"/>
      <c r="AE6" s="246"/>
      <c r="AF6" s="246"/>
      <c r="AG6" s="248"/>
      <c r="AH6" s="155"/>
      <c r="AI6" s="155"/>
      <c r="AJ6" s="155"/>
      <c r="AK6" s="155"/>
      <c r="AL6" s="155"/>
      <c r="AM6" s="155"/>
      <c r="AN6" s="155"/>
      <c r="AO6" s="155"/>
      <c r="AP6" s="155"/>
      <c r="AQ6" s="155"/>
      <c r="AR6" s="155"/>
      <c r="AS6" s="155"/>
      <c r="AT6" s="155"/>
      <c r="AU6" s="155"/>
      <c r="AV6" s="155"/>
      <c r="AW6" s="155"/>
      <c r="AX6" s="155"/>
      <c r="AY6" s="155"/>
      <c r="AZ6" s="155"/>
      <c r="BA6" s="155"/>
      <c r="BB6" s="155"/>
      <c r="BC6" s="155"/>
      <c r="BD6" s="155"/>
      <c r="BE6" s="155"/>
      <c r="BF6" s="155"/>
      <c r="BG6" s="155"/>
      <c r="BH6" s="155"/>
      <c r="BI6" s="155"/>
      <c r="BJ6" s="155"/>
      <c r="BK6" s="155"/>
      <c r="BL6" s="155"/>
      <c r="BM6" s="155"/>
      <c r="BN6" s="155"/>
      <c r="BO6" s="155"/>
      <c r="BP6" s="155"/>
      <c r="BQ6" s="155"/>
      <c r="BR6" s="155"/>
      <c r="BS6" s="155"/>
      <c r="BT6" s="155"/>
      <c r="BU6" s="155"/>
      <c r="BV6" s="155"/>
      <c r="BW6" s="155"/>
      <c r="BX6" s="155"/>
      <c r="BY6" s="155"/>
      <c r="BZ6" s="155"/>
      <c r="CA6" s="155"/>
      <c r="CB6" s="155"/>
      <c r="CC6" s="155"/>
      <c r="CD6" s="155"/>
      <c r="CE6" s="155"/>
      <c r="CF6" s="155"/>
      <c r="CG6" s="155"/>
      <c r="CH6" s="155"/>
      <c r="CI6" s="155"/>
      <c r="CJ6" s="155"/>
      <c r="CK6" s="155"/>
      <c r="CL6" s="155"/>
      <c r="CM6" s="155"/>
      <c r="CN6" s="155"/>
      <c r="CO6" s="155"/>
      <c r="CP6" s="155"/>
      <c r="CQ6" s="155"/>
      <c r="CR6" s="155"/>
      <c r="CS6" s="155"/>
      <c r="CT6" s="155"/>
      <c r="CU6" s="155"/>
      <c r="CV6" s="155"/>
      <c r="CW6" s="155"/>
      <c r="CX6" s="155"/>
      <c r="CY6" s="155"/>
      <c r="CZ6" s="155"/>
      <c r="DA6" s="155"/>
      <c r="DB6" s="155"/>
      <c r="DC6" s="155"/>
      <c r="DD6" s="155"/>
      <c r="DE6" s="155"/>
      <c r="DF6" s="155"/>
      <c r="DG6" s="155"/>
      <c r="DH6" s="155"/>
      <c r="DI6" s="155"/>
      <c r="DJ6" s="155"/>
      <c r="DK6" s="155"/>
    </row>
    <row r="7" spans="1:115" ht="13.5" thickBot="1" x14ac:dyDescent="0.25">
      <c r="B7" s="230">
        <f>$B$3</f>
        <v>0</v>
      </c>
      <c r="C7" s="81">
        <f>C$3</f>
        <v>0</v>
      </c>
      <c r="D7" s="81">
        <f t="shared" si="0"/>
        <v>0</v>
      </c>
      <c r="E7" s="82"/>
      <c r="F7" s="83"/>
      <c r="G7" s="84"/>
      <c r="H7" s="83"/>
      <c r="I7" s="84"/>
      <c r="J7" s="83"/>
      <c r="K7" s="85"/>
      <c r="L7" s="83"/>
      <c r="M7" s="85"/>
      <c r="N7" s="83"/>
      <c r="O7" s="100"/>
      <c r="P7" s="100"/>
      <c r="Q7" s="86"/>
      <c r="R7" s="87"/>
      <c r="S7" s="88"/>
      <c r="T7" s="87"/>
      <c r="U7" s="89"/>
      <c r="V7" s="87"/>
      <c r="W7" s="87"/>
      <c r="X7" s="87"/>
      <c r="Y7" s="90"/>
      <c r="Z7" s="91"/>
      <c r="AA7" s="243"/>
      <c r="AB7" s="249"/>
      <c r="AC7" s="249"/>
      <c r="AD7" s="249"/>
      <c r="AE7" s="249"/>
      <c r="AF7" s="249"/>
      <c r="AG7" s="250"/>
    </row>
    <row r="8" spans="1:115" x14ac:dyDescent="0.2">
      <c r="B8" s="231"/>
      <c r="C8" s="30">
        <f t="shared" ref="C8:C9" si="1">C$3</f>
        <v>0</v>
      </c>
      <c r="D8" s="30">
        <f t="shared" si="0"/>
        <v>0</v>
      </c>
      <c r="E8" s="71"/>
      <c r="F8" s="72"/>
      <c r="G8" s="73"/>
      <c r="H8" s="72"/>
      <c r="I8" s="73"/>
      <c r="J8" s="72"/>
      <c r="K8" s="74"/>
      <c r="L8" s="72"/>
      <c r="M8" s="74"/>
      <c r="N8" s="72"/>
      <c r="O8" s="101"/>
      <c r="P8" s="101"/>
      <c r="Q8" s="75"/>
      <c r="R8" s="76"/>
      <c r="S8" s="77"/>
      <c r="T8" s="76"/>
      <c r="U8" s="78"/>
      <c r="V8" s="76"/>
      <c r="W8" s="76"/>
      <c r="X8" s="76"/>
      <c r="Y8" s="79"/>
      <c r="Z8" s="80"/>
      <c r="AA8" s="244"/>
      <c r="AB8" s="247"/>
      <c r="AC8" s="247"/>
      <c r="AD8" s="247"/>
      <c r="AE8" s="247"/>
      <c r="AF8" s="247"/>
      <c r="AG8" s="251"/>
    </row>
    <row r="9" spans="1:115" x14ac:dyDescent="0.2">
      <c r="B9" s="229"/>
      <c r="C9" s="4">
        <f t="shared" si="1"/>
        <v>0</v>
      </c>
      <c r="D9" s="4">
        <f t="shared" si="0"/>
        <v>0</v>
      </c>
      <c r="E9" s="12"/>
      <c r="F9" s="11"/>
      <c r="G9" s="15"/>
      <c r="H9" s="11"/>
      <c r="I9" s="15"/>
      <c r="J9" s="11"/>
      <c r="K9" s="14"/>
      <c r="L9" s="11"/>
      <c r="M9" s="14"/>
      <c r="N9" s="11"/>
      <c r="O9" s="99"/>
      <c r="P9" s="99"/>
      <c r="Q9" s="19"/>
      <c r="R9" s="20"/>
      <c r="S9" s="22"/>
      <c r="T9" s="20"/>
      <c r="U9" s="28"/>
      <c r="V9" s="20"/>
      <c r="W9" s="20"/>
      <c r="X9" s="20"/>
      <c r="Y9" s="26"/>
      <c r="Z9" s="25"/>
      <c r="AA9" s="242"/>
      <c r="AB9" s="246"/>
      <c r="AC9" s="246"/>
      <c r="AD9" s="246"/>
      <c r="AE9" s="246"/>
      <c r="AF9" s="246"/>
      <c r="AG9" s="248"/>
    </row>
    <row r="10" spans="1:115" x14ac:dyDescent="0.2">
      <c r="B10" s="229"/>
      <c r="C10" s="4"/>
      <c r="D10" s="4"/>
      <c r="E10" s="12"/>
      <c r="F10" s="11"/>
      <c r="G10" s="15"/>
      <c r="H10" s="11"/>
      <c r="I10" s="15"/>
      <c r="J10" s="11"/>
      <c r="K10" s="14"/>
      <c r="L10" s="11"/>
      <c r="M10" s="14"/>
      <c r="N10" s="11"/>
      <c r="O10" s="99"/>
      <c r="P10" s="99"/>
      <c r="Q10" s="19"/>
      <c r="R10" s="20"/>
      <c r="S10" s="22"/>
      <c r="T10" s="20"/>
      <c r="U10" s="28"/>
      <c r="V10" s="20"/>
      <c r="W10" s="20"/>
      <c r="X10" s="20"/>
      <c r="Y10" s="26"/>
      <c r="Z10" s="25"/>
      <c r="AA10" s="242"/>
      <c r="AB10" s="246"/>
      <c r="AC10" s="246"/>
      <c r="AD10" s="246"/>
      <c r="AE10" s="246"/>
      <c r="AF10" s="246"/>
      <c r="AG10" s="248"/>
    </row>
    <row r="11" spans="1:115" x14ac:dyDescent="0.2">
      <c r="B11" s="229"/>
      <c r="C11" s="4"/>
      <c r="D11" s="4"/>
      <c r="E11" s="12"/>
      <c r="F11" s="11"/>
      <c r="G11" s="15"/>
      <c r="H11" s="11"/>
      <c r="I11" s="15"/>
      <c r="J11" s="11"/>
      <c r="K11" s="14"/>
      <c r="L11" s="11"/>
      <c r="M11" s="14"/>
      <c r="N11" s="11"/>
      <c r="O11" s="99"/>
      <c r="P11" s="99"/>
      <c r="Q11" s="19"/>
      <c r="R11" s="20"/>
      <c r="S11" s="22"/>
      <c r="T11" s="20"/>
      <c r="U11" s="28"/>
      <c r="V11" s="20"/>
      <c r="W11" s="20"/>
      <c r="X11" s="20"/>
      <c r="Y11" s="26"/>
      <c r="Z11" s="25"/>
      <c r="AA11" s="242"/>
      <c r="AB11" s="246"/>
      <c r="AC11" s="246"/>
      <c r="AD11" s="246"/>
      <c r="AE11" s="246"/>
      <c r="AF11" s="246"/>
      <c r="AG11" s="248"/>
    </row>
    <row r="12" spans="1:115" x14ac:dyDescent="0.2">
      <c r="B12" s="229"/>
      <c r="C12" s="4"/>
      <c r="D12" s="4"/>
      <c r="E12" s="12"/>
      <c r="F12" s="11"/>
      <c r="G12" s="15"/>
      <c r="H12" s="11"/>
      <c r="I12" s="15"/>
      <c r="J12" s="11"/>
      <c r="K12" s="14"/>
      <c r="L12" s="11"/>
      <c r="M12" s="14"/>
      <c r="N12" s="11"/>
      <c r="O12" s="99"/>
      <c r="P12" s="99"/>
      <c r="Q12" s="19"/>
      <c r="R12" s="20"/>
      <c r="S12" s="22"/>
      <c r="T12" s="20"/>
      <c r="U12" s="28"/>
      <c r="V12" s="20"/>
      <c r="W12" s="20"/>
      <c r="X12" s="20"/>
      <c r="Y12" s="26"/>
      <c r="Z12" s="25"/>
      <c r="AA12" s="242"/>
      <c r="AB12" s="246"/>
      <c r="AC12" s="246"/>
      <c r="AD12" s="246"/>
      <c r="AE12" s="246"/>
      <c r="AF12" s="246"/>
      <c r="AG12" s="248"/>
    </row>
    <row r="13" spans="1:115" x14ac:dyDescent="0.2">
      <c r="B13" s="229"/>
      <c r="C13" s="4"/>
      <c r="D13" s="4"/>
      <c r="E13" s="31"/>
      <c r="F13" s="32"/>
      <c r="G13" s="33"/>
      <c r="H13" s="32"/>
      <c r="I13" s="33"/>
      <c r="J13" s="32"/>
      <c r="K13" s="34"/>
      <c r="L13" s="32"/>
      <c r="M13" s="34"/>
      <c r="N13" s="32"/>
      <c r="O13" s="102"/>
      <c r="P13" s="102"/>
      <c r="Q13" s="35"/>
      <c r="R13" s="36"/>
      <c r="S13" s="37"/>
      <c r="T13" s="36"/>
      <c r="U13" s="38"/>
      <c r="V13" s="36"/>
      <c r="W13" s="36"/>
      <c r="X13" s="36"/>
      <c r="Y13" s="39"/>
      <c r="Z13" s="40"/>
      <c r="AA13" s="245"/>
      <c r="AB13" s="246"/>
      <c r="AC13" s="246"/>
      <c r="AD13" s="246"/>
      <c r="AE13" s="246"/>
      <c r="AF13" s="246"/>
      <c r="AG13" s="248"/>
    </row>
    <row r="14" spans="1:115" x14ac:dyDescent="0.2">
      <c r="B14" s="232"/>
      <c r="C14" s="43"/>
      <c r="D14" s="43"/>
      <c r="E14" s="31"/>
      <c r="F14" s="32"/>
      <c r="G14" s="33"/>
      <c r="H14" s="32"/>
      <c r="I14" s="33"/>
      <c r="J14" s="32"/>
      <c r="K14" s="34"/>
      <c r="L14" s="32"/>
      <c r="M14" s="34"/>
      <c r="N14" s="32"/>
      <c r="O14" s="102"/>
      <c r="P14" s="102"/>
      <c r="Q14" s="35"/>
      <c r="R14" s="36"/>
      <c r="S14" s="37"/>
      <c r="T14" s="36"/>
      <c r="U14" s="38"/>
      <c r="V14" s="36"/>
      <c r="W14" s="36"/>
      <c r="X14" s="36"/>
      <c r="Y14" s="39"/>
      <c r="Z14" s="40"/>
      <c r="AA14" s="245"/>
      <c r="AB14" s="246"/>
      <c r="AC14" s="246"/>
      <c r="AD14" s="246"/>
      <c r="AE14" s="246"/>
      <c r="AF14" s="246"/>
      <c r="AG14" s="248"/>
    </row>
    <row r="15" spans="1:115" x14ac:dyDescent="0.2">
      <c r="B15" s="229"/>
      <c r="C15" s="4"/>
      <c r="D15" s="4"/>
      <c r="E15" s="44"/>
      <c r="F15" s="45"/>
      <c r="G15" s="46"/>
      <c r="H15" s="45"/>
      <c r="I15" s="46"/>
      <c r="J15" s="45"/>
      <c r="K15" s="46"/>
      <c r="L15" s="45"/>
      <c r="M15" s="46"/>
      <c r="N15" s="45"/>
      <c r="O15" s="99"/>
      <c r="P15" s="99"/>
      <c r="Q15" s="47"/>
      <c r="R15" s="48"/>
      <c r="S15" s="47"/>
      <c r="T15" s="48"/>
      <c r="U15" s="47"/>
      <c r="V15" s="48"/>
      <c r="W15" s="48"/>
      <c r="X15" s="48"/>
      <c r="Y15" s="49"/>
      <c r="Z15" s="49"/>
      <c r="AA15" s="47"/>
      <c r="AB15" s="25"/>
      <c r="AC15" s="25"/>
      <c r="AD15" s="25"/>
      <c r="AE15" s="25"/>
      <c r="AF15" s="25"/>
      <c r="AG15" s="252"/>
    </row>
    <row r="16" spans="1:115" x14ac:dyDescent="0.2">
      <c r="B16" s="233"/>
      <c r="C16" s="4"/>
      <c r="D16" s="4"/>
      <c r="E16" s="44"/>
      <c r="F16" s="45"/>
      <c r="G16" s="46"/>
      <c r="H16" s="45"/>
      <c r="I16" s="46"/>
      <c r="J16" s="45"/>
      <c r="K16" s="46"/>
      <c r="L16" s="45"/>
      <c r="M16" s="46"/>
      <c r="N16" s="45"/>
      <c r="O16" s="99"/>
      <c r="P16" s="99"/>
      <c r="Q16" s="47"/>
      <c r="R16" s="48"/>
      <c r="S16" s="47"/>
      <c r="T16" s="48"/>
      <c r="U16" s="47"/>
      <c r="V16" s="48"/>
      <c r="W16" s="48"/>
      <c r="X16" s="48"/>
      <c r="Y16" s="49"/>
      <c r="Z16" s="49"/>
      <c r="AA16" s="47"/>
      <c r="AB16" s="25"/>
      <c r="AC16" s="25"/>
      <c r="AD16" s="25"/>
      <c r="AE16" s="25"/>
      <c r="AF16" s="25"/>
      <c r="AG16" s="252"/>
    </row>
    <row r="17" spans="2:33" ht="13.5" thickBot="1" x14ac:dyDescent="0.25">
      <c r="B17" s="234"/>
      <c r="C17" s="81"/>
      <c r="D17" s="81"/>
      <c r="E17" s="235"/>
      <c r="F17" s="236"/>
      <c r="G17" s="237"/>
      <c r="H17" s="236"/>
      <c r="I17" s="237"/>
      <c r="J17" s="236"/>
      <c r="K17" s="237"/>
      <c r="L17" s="236"/>
      <c r="M17" s="237"/>
      <c r="N17" s="236"/>
      <c r="O17" s="100"/>
      <c r="P17" s="100"/>
      <c r="Q17" s="238"/>
      <c r="R17" s="239"/>
      <c r="S17" s="238"/>
      <c r="T17" s="239"/>
      <c r="U17" s="238"/>
      <c r="V17" s="239"/>
      <c r="W17" s="239"/>
      <c r="X17" s="239"/>
      <c r="Y17" s="240"/>
      <c r="Z17" s="240"/>
      <c r="AA17" s="238"/>
      <c r="AB17" s="91"/>
      <c r="AC17" s="91"/>
      <c r="AD17" s="91"/>
      <c r="AE17" s="91"/>
      <c r="AF17" s="91"/>
      <c r="AG17" s="253"/>
    </row>
    <row r="18" spans="2:33" s="154" customFormat="1" x14ac:dyDescent="0.2">
      <c r="B18" s="155"/>
      <c r="C18" s="257"/>
      <c r="D18" s="257"/>
      <c r="E18" s="155"/>
      <c r="F18" s="155"/>
      <c r="G18" s="155"/>
      <c r="H18" s="155"/>
      <c r="I18" s="155"/>
      <c r="J18" s="155"/>
      <c r="K18" s="155"/>
      <c r="L18" s="155"/>
      <c r="M18" s="155"/>
      <c r="N18" s="155"/>
      <c r="O18" s="155"/>
      <c r="P18" s="155"/>
    </row>
    <row r="19" spans="2:33" s="154" customFormat="1" ht="13.5" customHeight="1" x14ac:dyDescent="0.2"/>
    <row r="20" spans="2:33" s="154" customFormat="1" ht="15.75" customHeight="1" x14ac:dyDescent="0.25">
      <c r="B20" s="283"/>
      <c r="C20" s="286" t="s">
        <v>81</v>
      </c>
      <c r="D20" s="285"/>
      <c r="E20" s="285"/>
      <c r="F20" s="285"/>
      <c r="G20" s="285"/>
      <c r="H20" s="285"/>
      <c r="I20" s="285"/>
    </row>
    <row r="21" spans="2:33" s="154" customFormat="1" x14ac:dyDescent="0.2">
      <c r="C21" s="258"/>
    </row>
    <row r="22" spans="2:33" s="154" customFormat="1" x14ac:dyDescent="0.2">
      <c r="C22" s="258"/>
    </row>
    <row r="23" spans="2:33" s="154" customFormat="1" ht="18" x14ac:dyDescent="0.25">
      <c r="B23" s="287" t="s">
        <v>82</v>
      </c>
      <c r="C23" s="287"/>
      <c r="D23" s="284"/>
      <c r="F23" s="288" t="s">
        <v>84</v>
      </c>
    </row>
    <row r="24" spans="2:33" s="154" customFormat="1" x14ac:dyDescent="0.2"/>
    <row r="25" spans="2:33" s="154" customFormat="1" x14ac:dyDescent="0.2"/>
    <row r="26" spans="2:33" s="154" customFormat="1" x14ac:dyDescent="0.2">
      <c r="D26" s="289"/>
      <c r="E26" s="289"/>
      <c r="F26" s="289"/>
      <c r="G26" s="289"/>
      <c r="H26" s="289"/>
      <c r="I26" s="289"/>
      <c r="J26" s="289"/>
    </row>
    <row r="27" spans="2:33" s="154" customFormat="1" x14ac:dyDescent="0.2">
      <c r="D27" s="289"/>
      <c r="E27" s="289"/>
      <c r="F27" s="289"/>
      <c r="G27" s="289"/>
      <c r="H27" s="289"/>
      <c r="I27" s="289"/>
      <c r="J27" s="289"/>
    </row>
    <row r="28" spans="2:33" s="154" customFormat="1" x14ac:dyDescent="0.2">
      <c r="D28" s="289"/>
      <c r="E28" s="289"/>
      <c r="F28" s="289"/>
      <c r="G28" s="289"/>
      <c r="H28" s="289"/>
      <c r="I28" s="289"/>
      <c r="J28" s="289"/>
    </row>
    <row r="29" spans="2:33" s="154" customFormat="1" x14ac:dyDescent="0.2">
      <c r="C29" s="259"/>
      <c r="D29" s="289"/>
      <c r="E29" s="289"/>
      <c r="F29" s="289"/>
      <c r="G29" s="289"/>
      <c r="H29" s="289"/>
      <c r="I29" s="289"/>
      <c r="J29" s="289"/>
    </row>
    <row r="30" spans="2:33" s="154" customFormat="1" x14ac:dyDescent="0.2">
      <c r="D30" s="289"/>
      <c r="E30" s="289"/>
      <c r="F30" s="289"/>
      <c r="G30" s="289"/>
      <c r="H30" s="289"/>
      <c r="I30" s="289"/>
      <c r="J30" s="289"/>
    </row>
    <row r="31" spans="2:33" s="154" customFormat="1" x14ac:dyDescent="0.2">
      <c r="D31" s="289"/>
      <c r="E31" s="289"/>
      <c r="F31" s="289"/>
      <c r="G31" s="289"/>
      <c r="H31" s="289"/>
      <c r="I31" s="289"/>
      <c r="J31" s="289"/>
    </row>
    <row r="32" spans="2:33" s="154" customFormat="1" x14ac:dyDescent="0.2">
      <c r="D32" s="289"/>
      <c r="E32" s="289"/>
      <c r="F32" s="289"/>
      <c r="G32" s="289"/>
      <c r="H32" s="289"/>
      <c r="I32" s="289"/>
      <c r="J32" s="289"/>
    </row>
    <row r="33" spans="4:10" s="154" customFormat="1" x14ac:dyDescent="0.2">
      <c r="D33" s="289"/>
      <c r="E33" s="289"/>
      <c r="F33" s="289"/>
      <c r="G33" s="289"/>
      <c r="H33" s="289"/>
      <c r="I33" s="289"/>
      <c r="J33" s="289"/>
    </row>
    <row r="34" spans="4:10" s="154" customFormat="1" x14ac:dyDescent="0.2">
      <c r="D34" s="289"/>
      <c r="E34" s="289"/>
      <c r="F34" s="289"/>
      <c r="G34" s="289"/>
      <c r="H34" s="289"/>
      <c r="I34" s="289"/>
      <c r="J34" s="289"/>
    </row>
    <row r="35" spans="4:10" s="154" customFormat="1" x14ac:dyDescent="0.2">
      <c r="D35" s="289"/>
      <c r="E35" s="289"/>
      <c r="F35" s="289"/>
      <c r="G35" s="289"/>
      <c r="H35" s="289"/>
      <c r="I35" s="289"/>
      <c r="J35" s="289"/>
    </row>
    <row r="36" spans="4:10" s="154" customFormat="1" x14ac:dyDescent="0.2">
      <c r="D36" s="289"/>
      <c r="E36" s="289"/>
      <c r="F36" s="289"/>
      <c r="G36" s="289"/>
      <c r="H36" s="289"/>
      <c r="I36" s="289"/>
      <c r="J36" s="289"/>
    </row>
    <row r="37" spans="4:10" s="154" customFormat="1" x14ac:dyDescent="0.2">
      <c r="D37" s="289"/>
      <c r="E37" s="289"/>
      <c r="F37" s="289"/>
      <c r="G37" s="289"/>
      <c r="H37" s="289"/>
      <c r="I37" s="289"/>
      <c r="J37" s="289"/>
    </row>
    <row r="38" spans="4:10" s="154" customFormat="1" x14ac:dyDescent="0.2">
      <c r="D38" s="289"/>
      <c r="E38" s="289"/>
      <c r="F38" s="289"/>
      <c r="G38" s="289"/>
      <c r="H38" s="289"/>
      <c r="I38" s="289"/>
      <c r="J38" s="289"/>
    </row>
    <row r="39" spans="4:10" s="154" customFormat="1" x14ac:dyDescent="0.2">
      <c r="D39" s="289"/>
      <c r="E39" s="289"/>
      <c r="F39" s="289"/>
      <c r="G39" s="289"/>
      <c r="H39" s="289"/>
      <c r="I39" s="289"/>
      <c r="J39" s="289"/>
    </row>
    <row r="40" spans="4:10" s="154" customFormat="1" x14ac:dyDescent="0.2">
      <c r="D40" s="289"/>
      <c r="E40" s="289"/>
      <c r="F40" s="289"/>
      <c r="G40" s="289"/>
      <c r="H40" s="289"/>
      <c r="I40" s="289"/>
      <c r="J40" s="289"/>
    </row>
    <row r="41" spans="4:10" s="154" customFormat="1" x14ac:dyDescent="0.2">
      <c r="D41" s="289"/>
      <c r="E41" s="289"/>
      <c r="F41" s="289"/>
      <c r="G41" s="289"/>
      <c r="H41" s="289"/>
      <c r="I41" s="289"/>
      <c r="J41" s="289"/>
    </row>
    <row r="42" spans="4:10" s="154" customFormat="1" x14ac:dyDescent="0.2">
      <c r="D42" s="289"/>
      <c r="E42" s="289"/>
      <c r="F42" s="289"/>
      <c r="G42" s="289"/>
      <c r="H42" s="289"/>
      <c r="I42" s="289"/>
      <c r="J42" s="289"/>
    </row>
    <row r="43" spans="4:10" s="154" customFormat="1" x14ac:dyDescent="0.2">
      <c r="D43" s="289"/>
      <c r="E43" s="289"/>
      <c r="F43" s="289"/>
      <c r="G43" s="289"/>
      <c r="H43" s="289"/>
      <c r="I43" s="289"/>
      <c r="J43" s="289"/>
    </row>
    <row r="44" spans="4:10" s="154" customFormat="1" x14ac:dyDescent="0.2">
      <c r="D44" s="289"/>
      <c r="E44" s="289"/>
      <c r="F44" s="289"/>
      <c r="G44" s="289"/>
      <c r="H44" s="289"/>
      <c r="I44" s="289"/>
      <c r="J44" s="289"/>
    </row>
    <row r="45" spans="4:10" s="154" customFormat="1" x14ac:dyDescent="0.2">
      <c r="D45" s="289"/>
      <c r="E45" s="289"/>
      <c r="F45" s="289"/>
      <c r="G45" s="289"/>
      <c r="H45" s="289"/>
      <c r="I45" s="289"/>
      <c r="J45" s="289"/>
    </row>
    <row r="46" spans="4:10" s="154" customFormat="1" x14ac:dyDescent="0.2">
      <c r="D46" s="289"/>
      <c r="E46" s="289"/>
      <c r="F46" s="289"/>
      <c r="G46" s="289"/>
      <c r="H46" s="289"/>
      <c r="I46" s="289"/>
      <c r="J46" s="289"/>
    </row>
    <row r="47" spans="4:10" s="154" customFormat="1" x14ac:dyDescent="0.2">
      <c r="D47" s="289"/>
      <c r="E47" s="289"/>
      <c r="F47" s="289"/>
      <c r="G47" s="289"/>
      <c r="H47" s="289"/>
      <c r="I47" s="289"/>
      <c r="J47" s="289"/>
    </row>
    <row r="48" spans="4:10" s="154" customFormat="1" x14ac:dyDescent="0.2">
      <c r="D48" s="289"/>
      <c r="E48" s="289"/>
      <c r="F48" s="289"/>
      <c r="G48" s="289"/>
      <c r="H48" s="289"/>
      <c r="I48" s="289"/>
      <c r="J48" s="289"/>
    </row>
    <row r="49" spans="4:10" s="154" customFormat="1" x14ac:dyDescent="0.2">
      <c r="D49" s="289"/>
      <c r="E49" s="289"/>
      <c r="F49" s="289"/>
      <c r="G49" s="289"/>
      <c r="H49" s="289"/>
      <c r="I49" s="289"/>
      <c r="J49" s="289"/>
    </row>
    <row r="50" spans="4:10" s="154" customFormat="1" x14ac:dyDescent="0.2">
      <c r="D50" s="289"/>
      <c r="E50" s="289"/>
      <c r="F50" s="289"/>
      <c r="G50" s="289"/>
      <c r="H50" s="289"/>
      <c r="I50" s="289"/>
      <c r="J50" s="289"/>
    </row>
    <row r="51" spans="4:10" s="154" customFormat="1" x14ac:dyDescent="0.2">
      <c r="D51" s="289"/>
      <c r="E51" s="289"/>
      <c r="F51" s="289"/>
      <c r="G51" s="289"/>
      <c r="H51" s="289"/>
      <c r="I51" s="289"/>
      <c r="J51" s="289"/>
    </row>
    <row r="52" spans="4:10" s="154" customFormat="1" x14ac:dyDescent="0.2">
      <c r="D52" s="289"/>
      <c r="E52" s="289"/>
      <c r="F52" s="289"/>
      <c r="G52" s="289"/>
      <c r="H52" s="289"/>
      <c r="I52" s="289"/>
      <c r="J52" s="289"/>
    </row>
    <row r="53" spans="4:10" s="154" customFormat="1" x14ac:dyDescent="0.2">
      <c r="D53" s="289"/>
      <c r="E53" s="289"/>
      <c r="F53" s="289"/>
      <c r="G53" s="289"/>
      <c r="H53" s="289"/>
      <c r="I53" s="289"/>
      <c r="J53" s="289"/>
    </row>
    <row r="54" spans="4:10" s="154" customFormat="1" x14ac:dyDescent="0.2">
      <c r="D54" s="289"/>
      <c r="E54" s="289"/>
      <c r="F54" s="289"/>
      <c r="G54" s="289"/>
      <c r="H54" s="289"/>
      <c r="I54" s="289"/>
      <c r="J54" s="289"/>
    </row>
    <row r="55" spans="4:10" s="154" customFormat="1" x14ac:dyDescent="0.2">
      <c r="D55" s="289"/>
      <c r="E55" s="289"/>
      <c r="F55" s="289"/>
      <c r="G55" s="289"/>
      <c r="H55" s="289"/>
      <c r="I55" s="289"/>
      <c r="J55" s="289"/>
    </row>
    <row r="56" spans="4:10" s="154" customFormat="1" x14ac:dyDescent="0.2"/>
    <row r="57" spans="4:10" s="154" customFormat="1" x14ac:dyDescent="0.2"/>
    <row r="58" spans="4:10" s="154" customFormat="1" x14ac:dyDescent="0.2"/>
    <row r="59" spans="4:10" s="154" customFormat="1" x14ac:dyDescent="0.2"/>
    <row r="60" spans="4:10" s="154" customFormat="1" x14ac:dyDescent="0.2"/>
    <row r="61" spans="4:10" s="154" customFormat="1" x14ac:dyDescent="0.2"/>
    <row r="62" spans="4:10" s="154" customFormat="1" x14ac:dyDescent="0.2"/>
    <row r="63" spans="4:10" s="154" customFormat="1" x14ac:dyDescent="0.2"/>
    <row r="64" spans="4:10" s="154" customFormat="1" x14ac:dyDescent="0.2"/>
    <row r="65" s="154" customFormat="1" x14ac:dyDescent="0.2"/>
    <row r="66" s="154" customFormat="1" x14ac:dyDescent="0.2"/>
    <row r="67" s="154" customFormat="1" x14ac:dyDescent="0.2"/>
    <row r="68" s="154" customFormat="1" x14ac:dyDescent="0.2"/>
    <row r="69" s="154" customFormat="1" x14ac:dyDescent="0.2"/>
    <row r="70" s="154" customFormat="1" x14ac:dyDescent="0.2"/>
    <row r="71" s="154" customFormat="1" x14ac:dyDescent="0.2"/>
    <row r="72" s="154" customFormat="1" x14ac:dyDescent="0.2"/>
    <row r="73" s="154" customFormat="1" x14ac:dyDescent="0.2"/>
    <row r="74" s="154" customFormat="1" x14ac:dyDescent="0.2"/>
    <row r="75" s="154" customFormat="1" x14ac:dyDescent="0.2"/>
    <row r="76" s="154" customFormat="1" x14ac:dyDescent="0.2"/>
    <row r="77" s="154" customFormat="1" x14ac:dyDescent="0.2"/>
    <row r="78" s="154" customFormat="1" x14ac:dyDescent="0.2"/>
    <row r="79" s="154" customFormat="1" x14ac:dyDescent="0.2"/>
    <row r="80" s="154" customFormat="1" x14ac:dyDescent="0.2"/>
    <row r="81" s="154" customFormat="1" x14ac:dyDescent="0.2"/>
    <row r="82" s="154" customFormat="1" x14ac:dyDescent="0.2"/>
    <row r="83" s="154" customFormat="1" x14ac:dyDescent="0.2"/>
    <row r="84" s="154" customFormat="1" x14ac:dyDescent="0.2"/>
    <row r="85" s="154" customFormat="1" x14ac:dyDescent="0.2"/>
    <row r="86" s="154" customFormat="1" x14ac:dyDescent="0.2"/>
    <row r="87" s="154" customFormat="1" x14ac:dyDescent="0.2"/>
    <row r="88" s="154" customFormat="1" x14ac:dyDescent="0.2"/>
    <row r="89" s="154" customFormat="1" x14ac:dyDescent="0.2"/>
    <row r="90" s="154" customFormat="1" x14ac:dyDescent="0.2"/>
    <row r="91" s="154" customFormat="1" x14ac:dyDescent="0.2"/>
    <row r="92" s="154" customFormat="1" x14ac:dyDescent="0.2"/>
    <row r="93" s="154" customFormat="1" x14ac:dyDescent="0.2"/>
    <row r="94" s="154" customFormat="1" x14ac:dyDescent="0.2"/>
    <row r="95" s="154" customFormat="1" x14ac:dyDescent="0.2"/>
    <row r="96" s="154" customFormat="1" x14ac:dyDescent="0.2"/>
    <row r="97" s="154" customFormat="1" x14ac:dyDescent="0.2"/>
    <row r="98" s="154" customFormat="1" x14ac:dyDescent="0.2"/>
    <row r="99" s="154" customFormat="1" x14ac:dyDescent="0.2"/>
    <row r="100" s="154" customFormat="1" x14ac:dyDescent="0.2"/>
    <row r="101" s="154" customFormat="1" x14ac:dyDescent="0.2"/>
    <row r="102" s="154" customFormat="1" x14ac:dyDescent="0.2"/>
    <row r="103" s="154" customFormat="1" x14ac:dyDescent="0.2"/>
    <row r="104" s="154" customFormat="1" x14ac:dyDescent="0.2"/>
    <row r="105" s="154" customFormat="1" x14ac:dyDescent="0.2"/>
    <row r="106" s="154" customFormat="1" x14ac:dyDescent="0.2"/>
    <row r="107" s="154" customFormat="1" x14ac:dyDescent="0.2"/>
    <row r="108" s="154" customFormat="1" x14ac:dyDescent="0.2"/>
    <row r="109" s="154" customFormat="1" x14ac:dyDescent="0.2"/>
    <row r="110" s="154" customFormat="1" x14ac:dyDescent="0.2"/>
    <row r="111" s="154" customFormat="1" x14ac:dyDescent="0.2"/>
    <row r="112" s="154" customFormat="1" x14ac:dyDescent="0.2"/>
    <row r="113" s="154" customFormat="1" x14ac:dyDescent="0.2"/>
    <row r="114" s="154" customFormat="1" x14ac:dyDescent="0.2"/>
    <row r="115" s="154" customFormat="1" x14ac:dyDescent="0.2"/>
    <row r="116" s="154" customFormat="1" x14ac:dyDescent="0.2"/>
    <row r="117" s="154" customFormat="1" x14ac:dyDescent="0.2"/>
    <row r="118" s="154" customFormat="1" x14ac:dyDescent="0.2"/>
    <row r="119" s="154" customFormat="1" x14ac:dyDescent="0.2"/>
    <row r="120" s="154" customFormat="1" x14ac:dyDescent="0.2"/>
    <row r="121" s="154" customFormat="1" x14ac:dyDescent="0.2"/>
    <row r="122" s="154" customFormat="1" x14ac:dyDescent="0.2"/>
    <row r="123" s="154" customFormat="1" x14ac:dyDescent="0.2"/>
    <row r="124" s="154" customFormat="1" x14ac:dyDescent="0.2"/>
    <row r="125" s="154" customFormat="1" x14ac:dyDescent="0.2"/>
    <row r="126" s="154" customFormat="1" x14ac:dyDescent="0.2"/>
    <row r="127" s="154" customFormat="1" x14ac:dyDescent="0.2"/>
    <row r="128" s="154" customFormat="1" x14ac:dyDescent="0.2"/>
    <row r="129" s="154" customFormat="1" x14ac:dyDescent="0.2"/>
    <row r="130" s="154" customFormat="1" x14ac:dyDescent="0.2"/>
    <row r="131" s="154" customFormat="1" x14ac:dyDescent="0.2"/>
    <row r="132" s="154" customFormat="1" x14ac:dyDescent="0.2"/>
    <row r="133" s="154" customFormat="1" x14ac:dyDescent="0.2"/>
    <row r="134" s="154" customFormat="1" x14ac:dyDescent="0.2"/>
    <row r="135" s="154" customFormat="1" x14ac:dyDescent="0.2"/>
    <row r="136" s="154" customFormat="1" x14ac:dyDescent="0.2"/>
    <row r="137" s="154" customFormat="1" x14ac:dyDescent="0.2"/>
    <row r="138" s="154" customFormat="1" x14ac:dyDescent="0.2"/>
    <row r="139" s="154" customFormat="1" x14ac:dyDescent="0.2"/>
    <row r="140" s="154" customFormat="1" x14ac:dyDescent="0.2"/>
    <row r="141" s="154" customFormat="1" x14ac:dyDescent="0.2"/>
    <row r="142" s="154" customFormat="1" x14ac:dyDescent="0.2"/>
    <row r="143" s="154" customFormat="1" x14ac:dyDescent="0.2"/>
    <row r="144" s="154" customFormat="1" x14ac:dyDescent="0.2"/>
    <row r="145" s="154" customFormat="1" x14ac:dyDescent="0.2"/>
    <row r="146" s="154" customFormat="1" x14ac:dyDescent="0.2"/>
    <row r="147" s="154" customFormat="1" x14ac:dyDescent="0.2"/>
    <row r="148" s="154" customFormat="1" x14ac:dyDescent="0.2"/>
    <row r="149" s="154" customFormat="1" x14ac:dyDescent="0.2"/>
    <row r="150" s="154" customFormat="1" x14ac:dyDescent="0.2"/>
    <row r="151" s="154" customFormat="1" x14ac:dyDescent="0.2"/>
    <row r="152" s="154" customFormat="1" x14ac:dyDescent="0.2"/>
    <row r="153" s="154" customFormat="1" x14ac:dyDescent="0.2"/>
    <row r="154" s="154" customFormat="1" x14ac:dyDescent="0.2"/>
    <row r="155" s="154" customFormat="1" x14ac:dyDescent="0.2"/>
    <row r="156" s="154" customFormat="1" x14ac:dyDescent="0.2"/>
    <row r="157" s="154" customFormat="1" x14ac:dyDescent="0.2"/>
    <row r="158" s="154" customFormat="1" x14ac:dyDescent="0.2"/>
    <row r="159" s="154" customFormat="1" x14ac:dyDescent="0.2"/>
    <row r="160" s="154" customFormat="1" x14ac:dyDescent="0.2"/>
    <row r="161" s="154" customFormat="1" x14ac:dyDescent="0.2"/>
    <row r="162" s="154" customFormat="1" x14ac:dyDescent="0.2"/>
    <row r="163" s="154" customFormat="1" x14ac:dyDescent="0.2"/>
    <row r="164" s="154" customFormat="1" x14ac:dyDescent="0.2"/>
    <row r="165" s="154" customFormat="1" x14ac:dyDescent="0.2"/>
    <row r="166" s="154" customFormat="1" x14ac:dyDescent="0.2"/>
    <row r="167" s="154" customFormat="1" x14ac:dyDescent="0.2"/>
    <row r="168" s="154" customFormat="1" x14ac:dyDescent="0.2"/>
    <row r="169" s="154" customFormat="1" x14ac:dyDescent="0.2"/>
    <row r="170" s="154" customFormat="1" x14ac:dyDescent="0.2"/>
    <row r="171" s="154" customFormat="1" x14ac:dyDescent="0.2"/>
    <row r="172" s="154" customFormat="1" x14ac:dyDescent="0.2"/>
    <row r="173" s="154" customFormat="1" x14ac:dyDescent="0.2"/>
    <row r="174" s="154" customFormat="1" x14ac:dyDescent="0.2"/>
    <row r="175" s="154" customFormat="1" x14ac:dyDescent="0.2"/>
    <row r="176" s="154" customFormat="1" x14ac:dyDescent="0.2"/>
    <row r="177" s="154" customFormat="1" x14ac:dyDescent="0.2"/>
    <row r="178" s="154" customFormat="1" x14ac:dyDescent="0.2"/>
    <row r="179" s="154" customFormat="1" x14ac:dyDescent="0.2"/>
    <row r="180" s="154" customFormat="1" x14ac:dyDescent="0.2"/>
    <row r="181" s="154" customFormat="1" x14ac:dyDescent="0.2"/>
    <row r="182" s="154" customFormat="1" x14ac:dyDescent="0.2"/>
    <row r="183" s="154" customFormat="1" x14ac:dyDescent="0.2"/>
    <row r="184" s="154" customFormat="1" x14ac:dyDescent="0.2"/>
    <row r="185" s="154" customFormat="1" x14ac:dyDescent="0.2"/>
    <row r="186" s="154" customFormat="1" x14ac:dyDescent="0.2"/>
    <row r="187" s="154" customFormat="1" x14ac:dyDescent="0.2"/>
    <row r="188" s="154" customFormat="1" x14ac:dyDescent="0.2"/>
    <row r="189" s="154" customFormat="1" x14ac:dyDescent="0.2"/>
    <row r="190" s="154" customFormat="1" x14ac:dyDescent="0.2"/>
    <row r="191" s="154" customFormat="1" x14ac:dyDescent="0.2"/>
    <row r="192" s="154" customFormat="1" x14ac:dyDescent="0.2"/>
    <row r="193" s="154" customFormat="1" x14ac:dyDescent="0.2"/>
    <row r="194" s="154" customFormat="1" x14ac:dyDescent="0.2"/>
    <row r="195" s="154" customFormat="1" x14ac:dyDescent="0.2"/>
    <row r="196" s="154" customFormat="1" x14ac:dyDescent="0.2"/>
    <row r="197" s="154" customFormat="1" x14ac:dyDescent="0.2"/>
    <row r="198" s="154" customFormat="1" x14ac:dyDescent="0.2"/>
    <row r="199" s="154" customFormat="1" x14ac:dyDescent="0.2"/>
    <row r="200" s="154" customFormat="1" x14ac:dyDescent="0.2"/>
    <row r="201" s="154" customFormat="1" x14ac:dyDescent="0.2"/>
    <row r="202" s="154" customFormat="1" x14ac:dyDescent="0.2"/>
    <row r="203" s="154" customFormat="1" x14ac:dyDescent="0.2"/>
    <row r="204" s="154" customFormat="1" x14ac:dyDescent="0.2"/>
    <row r="205" s="154" customFormat="1" x14ac:dyDescent="0.2"/>
    <row r="206" s="154" customFormat="1" x14ac:dyDescent="0.2"/>
    <row r="207" s="154" customFormat="1" x14ac:dyDescent="0.2"/>
    <row r="208" s="154" customFormat="1" x14ac:dyDescent="0.2"/>
    <row r="209" s="154" customFormat="1" x14ac:dyDescent="0.2"/>
    <row r="210" s="154" customFormat="1" x14ac:dyDescent="0.2"/>
    <row r="211" s="154" customFormat="1" x14ac:dyDescent="0.2"/>
    <row r="212" s="154" customFormat="1" x14ac:dyDescent="0.2"/>
    <row r="213" s="154" customFormat="1" x14ac:dyDescent="0.2"/>
    <row r="214" s="154" customFormat="1" x14ac:dyDescent="0.2"/>
    <row r="215" s="154" customFormat="1" x14ac:dyDescent="0.2"/>
    <row r="216" s="154" customFormat="1" x14ac:dyDescent="0.2"/>
    <row r="217" s="154" customFormat="1" x14ac:dyDescent="0.2"/>
    <row r="218" s="154" customFormat="1" x14ac:dyDescent="0.2"/>
    <row r="219" s="154" customFormat="1" x14ac:dyDescent="0.2"/>
    <row r="220" s="154" customFormat="1" x14ac:dyDescent="0.2"/>
    <row r="221" s="154" customFormat="1" x14ac:dyDescent="0.2"/>
    <row r="222" s="154" customFormat="1" x14ac:dyDescent="0.2"/>
    <row r="223" s="154" customFormat="1" x14ac:dyDescent="0.2"/>
    <row r="224" s="154" customFormat="1" x14ac:dyDescent="0.2"/>
    <row r="225" s="154" customFormat="1" x14ac:dyDescent="0.2"/>
    <row r="226" s="154" customFormat="1" x14ac:dyDescent="0.2"/>
    <row r="227" s="154" customFormat="1" x14ac:dyDescent="0.2"/>
    <row r="228" s="154" customFormat="1" x14ac:dyDescent="0.2"/>
    <row r="229" s="154" customFormat="1" x14ac:dyDescent="0.2"/>
    <row r="230" s="154" customFormat="1" x14ac:dyDescent="0.2"/>
    <row r="231" s="154" customFormat="1" x14ac:dyDescent="0.2"/>
    <row r="232" s="154" customFormat="1" x14ac:dyDescent="0.2"/>
    <row r="233" s="154" customFormat="1" x14ac:dyDescent="0.2"/>
    <row r="234" s="154" customFormat="1" x14ac:dyDescent="0.2"/>
    <row r="235" s="154" customFormat="1" x14ac:dyDescent="0.2"/>
    <row r="236" s="154" customFormat="1" x14ac:dyDescent="0.2"/>
    <row r="237" s="154" customFormat="1" x14ac:dyDescent="0.2"/>
    <row r="238" s="154" customFormat="1" x14ac:dyDescent="0.2"/>
    <row r="239" s="154" customFormat="1" x14ac:dyDescent="0.2"/>
    <row r="240" s="154" customFormat="1" x14ac:dyDescent="0.2"/>
    <row r="241" s="154" customFormat="1" x14ac:dyDescent="0.2"/>
    <row r="242" s="154" customFormat="1" x14ac:dyDescent="0.2"/>
    <row r="243" s="154" customFormat="1" x14ac:dyDescent="0.2"/>
    <row r="244" s="154" customFormat="1" x14ac:dyDescent="0.2"/>
    <row r="245" s="154" customFormat="1" x14ac:dyDescent="0.2"/>
    <row r="246" s="154" customFormat="1" x14ac:dyDescent="0.2"/>
    <row r="247" s="154" customFormat="1" x14ac:dyDescent="0.2"/>
    <row r="248" s="154" customFormat="1" x14ac:dyDescent="0.2"/>
    <row r="249" s="154" customFormat="1" x14ac:dyDescent="0.2"/>
    <row r="250" s="154" customFormat="1" x14ac:dyDescent="0.2"/>
    <row r="251" s="154" customFormat="1" x14ac:dyDescent="0.2"/>
    <row r="252" s="154" customFormat="1" x14ac:dyDescent="0.2"/>
    <row r="253" s="154" customFormat="1" x14ac:dyDescent="0.2"/>
    <row r="254" s="154" customFormat="1" x14ac:dyDescent="0.2"/>
    <row r="255" s="154" customFormat="1" x14ac:dyDescent="0.2"/>
    <row r="256" s="154" customFormat="1" x14ac:dyDescent="0.2"/>
    <row r="257" s="154" customFormat="1" x14ac:dyDescent="0.2"/>
    <row r="258" s="154" customFormat="1" x14ac:dyDescent="0.2"/>
    <row r="259" s="154" customFormat="1" x14ac:dyDescent="0.2"/>
    <row r="260" s="154" customFormat="1" x14ac:dyDescent="0.2"/>
    <row r="261" s="154" customFormat="1" x14ac:dyDescent="0.2"/>
    <row r="262" s="154" customFormat="1" x14ac:dyDescent="0.2"/>
    <row r="263" s="154" customFormat="1" x14ac:dyDescent="0.2"/>
    <row r="264" s="154" customFormat="1" x14ac:dyDescent="0.2"/>
    <row r="265" s="154" customFormat="1" x14ac:dyDescent="0.2"/>
    <row r="266" s="154" customFormat="1" x14ac:dyDescent="0.2"/>
    <row r="267" s="154" customFormat="1" x14ac:dyDescent="0.2"/>
    <row r="268" s="154" customFormat="1" x14ac:dyDescent="0.2"/>
    <row r="269" s="154" customFormat="1" x14ac:dyDescent="0.2"/>
    <row r="270" s="154" customFormat="1" x14ac:dyDescent="0.2"/>
    <row r="271" s="154" customFormat="1" x14ac:dyDescent="0.2"/>
    <row r="272" s="154" customFormat="1" x14ac:dyDescent="0.2"/>
    <row r="273" s="154" customFormat="1" x14ac:dyDescent="0.2"/>
    <row r="274" s="154" customFormat="1" x14ac:dyDescent="0.2"/>
    <row r="275" s="154" customFormat="1" x14ac:dyDescent="0.2"/>
    <row r="276" s="154" customFormat="1" x14ac:dyDescent="0.2"/>
    <row r="277" s="154" customFormat="1" x14ac:dyDescent="0.2"/>
    <row r="278" s="154" customFormat="1" x14ac:dyDescent="0.2"/>
    <row r="279" s="154" customFormat="1" x14ac:dyDescent="0.2"/>
    <row r="280" s="154" customFormat="1" x14ac:dyDescent="0.2"/>
    <row r="281" s="154" customFormat="1" x14ac:dyDescent="0.2"/>
    <row r="282" s="154" customFormat="1" x14ac:dyDescent="0.2"/>
    <row r="283" s="154" customFormat="1" x14ac:dyDescent="0.2"/>
    <row r="284" s="154" customFormat="1" x14ac:dyDescent="0.2"/>
    <row r="285" s="154" customFormat="1" x14ac:dyDescent="0.2"/>
    <row r="286" s="154" customFormat="1" x14ac:dyDescent="0.2"/>
    <row r="287" s="154" customFormat="1" x14ac:dyDescent="0.2"/>
    <row r="288" s="154" customFormat="1" x14ac:dyDescent="0.2"/>
    <row r="289" s="154" customFormat="1" x14ac:dyDescent="0.2"/>
    <row r="290" s="154" customFormat="1" x14ac:dyDescent="0.2"/>
    <row r="291" s="154" customFormat="1" x14ac:dyDescent="0.2"/>
    <row r="292" s="154" customFormat="1" x14ac:dyDescent="0.2"/>
    <row r="293" s="154" customFormat="1" x14ac:dyDescent="0.2"/>
    <row r="294" s="154" customFormat="1" x14ac:dyDescent="0.2"/>
    <row r="295" s="154" customFormat="1" x14ac:dyDescent="0.2"/>
    <row r="296" s="154" customFormat="1" x14ac:dyDescent="0.2"/>
    <row r="297" s="154" customFormat="1" x14ac:dyDescent="0.2"/>
    <row r="298" s="154" customFormat="1" x14ac:dyDescent="0.2"/>
    <row r="299" s="154" customFormat="1" x14ac:dyDescent="0.2"/>
    <row r="300" s="154" customFormat="1" x14ac:dyDescent="0.2"/>
    <row r="301" s="154" customFormat="1" x14ac:dyDescent="0.2"/>
    <row r="302" s="154" customFormat="1" x14ac:dyDescent="0.2"/>
    <row r="303" s="154" customFormat="1" x14ac:dyDescent="0.2"/>
    <row r="304" s="154" customFormat="1" x14ac:dyDescent="0.2"/>
    <row r="305" s="154" customFormat="1" x14ac:dyDescent="0.2"/>
    <row r="306" s="154" customFormat="1" x14ac:dyDescent="0.2"/>
    <row r="307" s="154" customFormat="1" x14ac:dyDescent="0.2"/>
    <row r="308" s="154" customFormat="1" x14ac:dyDescent="0.2"/>
    <row r="309" s="154" customFormat="1" x14ac:dyDescent="0.2"/>
    <row r="310" s="154" customFormat="1" x14ac:dyDescent="0.2"/>
    <row r="311" s="154" customFormat="1" x14ac:dyDescent="0.2"/>
    <row r="312" s="154" customFormat="1" x14ac:dyDescent="0.2"/>
    <row r="313" s="154" customFormat="1" x14ac:dyDescent="0.2"/>
    <row r="314" s="154" customFormat="1" x14ac:dyDescent="0.2"/>
    <row r="315" s="154" customFormat="1" x14ac:dyDescent="0.2"/>
    <row r="316" s="154" customFormat="1" x14ac:dyDescent="0.2"/>
    <row r="317" s="154" customFormat="1" x14ac:dyDescent="0.2"/>
    <row r="318" s="154" customFormat="1" x14ac:dyDescent="0.2"/>
    <row r="319" s="154" customFormat="1" x14ac:dyDescent="0.2"/>
    <row r="320" s="154" customFormat="1" x14ac:dyDescent="0.2"/>
    <row r="321" s="154" customFormat="1" x14ac:dyDescent="0.2"/>
    <row r="322" s="154" customFormat="1" x14ac:dyDescent="0.2"/>
    <row r="323" s="154" customFormat="1" x14ac:dyDescent="0.2"/>
    <row r="324" s="154" customFormat="1" x14ac:dyDescent="0.2"/>
    <row r="325" s="154" customFormat="1" x14ac:dyDescent="0.2"/>
    <row r="326" s="154" customFormat="1" x14ac:dyDescent="0.2"/>
    <row r="327" s="154" customFormat="1" x14ac:dyDescent="0.2"/>
    <row r="328" s="154" customFormat="1" x14ac:dyDescent="0.2"/>
    <row r="329" s="154" customFormat="1" x14ac:dyDescent="0.2"/>
    <row r="330" s="154" customFormat="1" x14ac:dyDescent="0.2"/>
    <row r="331" s="154" customFormat="1" x14ac:dyDescent="0.2"/>
    <row r="332" s="154" customFormat="1" x14ac:dyDescent="0.2"/>
    <row r="333" s="154" customFormat="1" x14ac:dyDescent="0.2"/>
    <row r="334" s="154" customFormat="1" x14ac:dyDescent="0.2"/>
    <row r="335" s="154" customFormat="1" x14ac:dyDescent="0.2"/>
    <row r="336" s="154" customFormat="1" x14ac:dyDescent="0.2"/>
    <row r="337" s="154" customFormat="1" x14ac:dyDescent="0.2"/>
    <row r="338" s="154" customFormat="1" x14ac:dyDescent="0.2"/>
    <row r="339" s="154" customFormat="1" x14ac:dyDescent="0.2"/>
    <row r="340" s="154" customFormat="1" x14ac:dyDescent="0.2"/>
    <row r="341" s="154" customFormat="1" x14ac:dyDescent="0.2"/>
    <row r="342" s="154" customFormat="1" x14ac:dyDescent="0.2"/>
    <row r="343" s="154" customFormat="1" x14ac:dyDescent="0.2"/>
    <row r="344" s="154" customFormat="1" x14ac:dyDescent="0.2"/>
    <row r="345" s="154" customFormat="1" x14ac:dyDescent="0.2"/>
    <row r="346" s="154" customFormat="1" x14ac:dyDescent="0.2"/>
    <row r="347" s="154" customFormat="1" x14ac:dyDescent="0.2"/>
    <row r="348" s="154" customFormat="1" x14ac:dyDescent="0.2"/>
    <row r="349" s="154" customFormat="1" x14ac:dyDescent="0.2"/>
    <row r="350" s="154" customFormat="1" x14ac:dyDescent="0.2"/>
    <row r="351" s="154" customFormat="1" x14ac:dyDescent="0.2"/>
    <row r="352" s="154" customFormat="1" x14ac:dyDescent="0.2"/>
    <row r="353" s="154" customFormat="1" x14ac:dyDescent="0.2"/>
    <row r="354" s="154" customFormat="1" x14ac:dyDescent="0.2"/>
    <row r="355" s="154" customFormat="1" x14ac:dyDescent="0.2"/>
    <row r="356" s="154" customFormat="1" x14ac:dyDescent="0.2"/>
    <row r="357" s="154" customFormat="1" x14ac:dyDescent="0.2"/>
    <row r="358" s="154" customFormat="1" x14ac:dyDescent="0.2"/>
    <row r="359" s="154" customFormat="1" x14ac:dyDescent="0.2"/>
    <row r="360" s="154" customFormat="1" x14ac:dyDescent="0.2"/>
    <row r="361" s="154" customFormat="1" x14ac:dyDescent="0.2"/>
    <row r="362" s="154" customFormat="1" x14ac:dyDescent="0.2"/>
    <row r="363" s="154" customFormat="1" x14ac:dyDescent="0.2"/>
    <row r="364" s="154" customFormat="1" x14ac:dyDescent="0.2"/>
    <row r="365" s="154" customFormat="1" x14ac:dyDescent="0.2"/>
    <row r="366" s="154" customFormat="1" x14ac:dyDescent="0.2"/>
    <row r="367" s="154" customFormat="1" x14ac:dyDescent="0.2"/>
    <row r="368" s="154" customFormat="1" x14ac:dyDescent="0.2"/>
    <row r="369" s="154" customFormat="1" x14ac:dyDescent="0.2"/>
    <row r="370" s="154" customFormat="1" x14ac:dyDescent="0.2"/>
    <row r="371" s="154" customFormat="1" x14ac:dyDescent="0.2"/>
    <row r="372" s="154" customFormat="1" x14ac:dyDescent="0.2"/>
    <row r="373" s="154" customFormat="1" x14ac:dyDescent="0.2"/>
    <row r="374" s="154" customFormat="1" x14ac:dyDescent="0.2"/>
    <row r="375" s="154" customFormat="1" x14ac:dyDescent="0.2"/>
    <row r="376" s="154" customFormat="1" x14ac:dyDescent="0.2"/>
    <row r="377" s="154" customFormat="1" x14ac:dyDescent="0.2"/>
    <row r="378" s="154" customFormat="1" x14ac:dyDescent="0.2"/>
    <row r="379" s="154" customFormat="1" x14ac:dyDescent="0.2"/>
    <row r="380" s="154" customFormat="1" x14ac:dyDescent="0.2"/>
    <row r="381" s="154" customFormat="1" x14ac:dyDescent="0.2"/>
    <row r="382" s="154" customFormat="1" x14ac:dyDescent="0.2"/>
    <row r="383" s="154" customFormat="1" x14ac:dyDescent="0.2"/>
    <row r="384" s="154" customFormat="1" x14ac:dyDescent="0.2"/>
    <row r="385" s="154" customFormat="1" x14ac:dyDescent="0.2"/>
    <row r="386" s="154" customFormat="1" x14ac:dyDescent="0.2"/>
    <row r="387" s="154" customFormat="1" x14ac:dyDescent="0.2"/>
    <row r="388" s="154" customFormat="1" x14ac:dyDescent="0.2"/>
    <row r="389" s="154" customFormat="1" x14ac:dyDescent="0.2"/>
    <row r="390" s="154" customFormat="1" x14ac:dyDescent="0.2"/>
    <row r="391" s="154" customFormat="1" x14ac:dyDescent="0.2"/>
    <row r="392" s="154" customFormat="1" x14ac:dyDescent="0.2"/>
    <row r="393" s="154" customFormat="1" x14ac:dyDescent="0.2"/>
    <row r="394" s="154" customFormat="1" x14ac:dyDescent="0.2"/>
    <row r="395" s="154" customFormat="1" x14ac:dyDescent="0.2"/>
    <row r="396" s="154" customFormat="1" x14ac:dyDescent="0.2"/>
    <row r="397" s="154" customFormat="1" x14ac:dyDescent="0.2"/>
    <row r="398" s="154" customFormat="1" x14ac:dyDescent="0.2"/>
    <row r="399" s="154" customFormat="1" x14ac:dyDescent="0.2"/>
    <row r="400" s="154" customFormat="1" x14ac:dyDescent="0.2"/>
    <row r="401" s="154" customFormat="1" x14ac:dyDescent="0.2"/>
    <row r="402" s="154" customFormat="1" x14ac:dyDescent="0.2"/>
    <row r="403" s="154" customFormat="1" x14ac:dyDescent="0.2"/>
    <row r="404" s="154" customFormat="1" x14ac:dyDescent="0.2"/>
    <row r="405" s="154" customFormat="1" x14ac:dyDescent="0.2"/>
    <row r="406" s="154" customFormat="1" x14ac:dyDescent="0.2"/>
    <row r="407" s="154" customFormat="1" x14ac:dyDescent="0.2"/>
    <row r="408" s="154" customFormat="1" x14ac:dyDescent="0.2"/>
    <row r="409" s="154" customFormat="1" x14ac:dyDescent="0.2"/>
    <row r="410" s="154" customFormat="1" x14ac:dyDescent="0.2"/>
    <row r="411" s="154" customFormat="1" x14ac:dyDescent="0.2"/>
    <row r="412" s="154" customFormat="1" x14ac:dyDescent="0.2"/>
    <row r="413" s="154" customFormat="1" x14ac:dyDescent="0.2"/>
    <row r="414" s="154" customFormat="1" x14ac:dyDescent="0.2"/>
    <row r="415" s="154" customFormat="1" x14ac:dyDescent="0.2"/>
    <row r="416" s="154" customFormat="1" x14ac:dyDescent="0.2"/>
    <row r="417" s="154" customFormat="1" x14ac:dyDescent="0.2"/>
    <row r="418" s="154" customFormat="1" x14ac:dyDescent="0.2"/>
    <row r="419" s="154" customFormat="1" x14ac:dyDescent="0.2"/>
    <row r="420" s="154" customFormat="1" x14ac:dyDescent="0.2"/>
    <row r="421" s="154" customFormat="1" x14ac:dyDescent="0.2"/>
    <row r="422" s="154" customFormat="1" x14ac:dyDescent="0.2"/>
    <row r="423" s="154" customFormat="1" x14ac:dyDescent="0.2"/>
    <row r="424" s="154" customFormat="1" x14ac:dyDescent="0.2"/>
    <row r="425" s="154" customFormat="1" x14ac:dyDescent="0.2"/>
    <row r="426" s="154" customFormat="1" x14ac:dyDescent="0.2"/>
    <row r="427" s="154" customFormat="1" x14ac:dyDescent="0.2"/>
    <row r="428" s="154" customFormat="1" x14ac:dyDescent="0.2"/>
    <row r="429" s="154" customFormat="1" x14ac:dyDescent="0.2"/>
    <row r="430" s="154" customFormat="1" x14ac:dyDescent="0.2"/>
    <row r="431" s="154" customFormat="1" x14ac:dyDescent="0.2"/>
    <row r="432" s="154" customFormat="1" x14ac:dyDescent="0.2"/>
    <row r="433" s="154" customFormat="1" x14ac:dyDescent="0.2"/>
    <row r="434" s="154" customFormat="1" x14ac:dyDescent="0.2"/>
    <row r="435" s="154" customFormat="1" x14ac:dyDescent="0.2"/>
    <row r="436" s="154" customFormat="1" x14ac:dyDescent="0.2"/>
    <row r="437" s="154" customFormat="1" x14ac:dyDescent="0.2"/>
    <row r="438" s="154" customFormat="1" x14ac:dyDescent="0.2"/>
    <row r="439" s="154" customFormat="1" x14ac:dyDescent="0.2"/>
    <row r="440" s="154" customFormat="1" x14ac:dyDescent="0.2"/>
    <row r="441" s="154" customFormat="1" x14ac:dyDescent="0.2"/>
    <row r="442" s="154" customFormat="1" x14ac:dyDescent="0.2"/>
    <row r="443" s="154" customFormat="1" x14ac:dyDescent="0.2"/>
    <row r="444" s="154" customFormat="1" x14ac:dyDescent="0.2"/>
    <row r="445" s="154" customFormat="1" x14ac:dyDescent="0.2"/>
    <row r="446" s="154" customFormat="1" x14ac:dyDescent="0.2"/>
    <row r="447" s="154" customFormat="1" x14ac:dyDescent="0.2"/>
    <row r="448" s="154" customFormat="1" x14ac:dyDescent="0.2"/>
    <row r="449" s="154" customFormat="1" x14ac:dyDescent="0.2"/>
    <row r="450" s="154" customFormat="1" x14ac:dyDescent="0.2"/>
    <row r="451" s="154" customFormat="1" x14ac:dyDescent="0.2"/>
    <row r="452" s="154" customFormat="1" x14ac:dyDescent="0.2"/>
    <row r="453" s="154" customFormat="1" x14ac:dyDescent="0.2"/>
    <row r="454" s="154" customFormat="1" x14ac:dyDescent="0.2"/>
    <row r="455" s="154" customFormat="1" x14ac:dyDescent="0.2"/>
    <row r="456" s="154" customFormat="1" x14ac:dyDescent="0.2"/>
    <row r="457" s="154" customFormat="1" x14ac:dyDescent="0.2"/>
    <row r="458" s="154" customFormat="1" x14ac:dyDescent="0.2"/>
    <row r="459" s="154" customFormat="1" x14ac:dyDescent="0.2"/>
    <row r="460" s="154" customFormat="1" x14ac:dyDescent="0.2"/>
    <row r="461" s="154" customFormat="1" x14ac:dyDescent="0.2"/>
    <row r="462" s="154" customFormat="1" x14ac:dyDescent="0.2"/>
    <row r="463" s="154" customFormat="1" x14ac:dyDescent="0.2"/>
    <row r="464" s="154" customFormat="1" x14ac:dyDescent="0.2"/>
    <row r="465" s="154" customFormat="1" x14ac:dyDescent="0.2"/>
    <row r="466" s="154" customFormat="1" x14ac:dyDescent="0.2"/>
    <row r="467" s="154" customFormat="1" x14ac:dyDescent="0.2"/>
    <row r="468" s="154" customFormat="1" x14ac:dyDescent="0.2"/>
    <row r="469" s="154" customFormat="1" x14ac:dyDescent="0.2"/>
    <row r="470" s="154" customFormat="1" x14ac:dyDescent="0.2"/>
    <row r="471" s="154" customFormat="1" x14ac:dyDescent="0.2"/>
    <row r="472" s="154" customFormat="1" x14ac:dyDescent="0.2"/>
    <row r="473" s="154" customFormat="1" x14ac:dyDescent="0.2"/>
    <row r="474" s="154" customFormat="1" x14ac:dyDescent="0.2"/>
    <row r="475" s="154" customFormat="1" x14ac:dyDescent="0.2"/>
    <row r="476" s="154" customFormat="1" x14ac:dyDescent="0.2"/>
    <row r="477" s="154" customFormat="1" x14ac:dyDescent="0.2"/>
    <row r="478" s="154" customFormat="1" x14ac:dyDescent="0.2"/>
    <row r="479" s="154" customFormat="1" x14ac:dyDescent="0.2"/>
    <row r="480" s="154" customFormat="1" x14ac:dyDescent="0.2"/>
    <row r="481" s="154" customFormat="1" x14ac:dyDescent="0.2"/>
    <row r="482" s="154" customFormat="1" x14ac:dyDescent="0.2"/>
    <row r="483" s="154" customFormat="1" x14ac:dyDescent="0.2"/>
    <row r="484" s="154" customFormat="1" x14ac:dyDescent="0.2"/>
    <row r="485" s="154" customFormat="1" x14ac:dyDescent="0.2"/>
    <row r="486" s="154" customFormat="1" x14ac:dyDescent="0.2"/>
    <row r="487" s="154" customFormat="1" x14ac:dyDescent="0.2"/>
    <row r="488" s="154" customFormat="1" x14ac:dyDescent="0.2"/>
    <row r="489" s="154" customFormat="1" x14ac:dyDescent="0.2"/>
    <row r="490" s="154" customFormat="1" x14ac:dyDescent="0.2"/>
    <row r="491" s="154" customFormat="1" x14ac:dyDescent="0.2"/>
    <row r="492" s="154" customFormat="1" x14ac:dyDescent="0.2"/>
    <row r="493" s="154" customFormat="1" x14ac:dyDescent="0.2"/>
    <row r="494" s="154" customFormat="1" x14ac:dyDescent="0.2"/>
    <row r="495" s="154" customFormat="1" x14ac:dyDescent="0.2"/>
    <row r="496" s="154" customFormat="1" x14ac:dyDescent="0.2"/>
    <row r="497" s="154" customFormat="1" x14ac:dyDescent="0.2"/>
    <row r="498" s="154" customFormat="1" x14ac:dyDescent="0.2"/>
    <row r="499" s="154" customFormat="1" x14ac:dyDescent="0.2"/>
    <row r="500" s="154" customFormat="1" x14ac:dyDescent="0.2"/>
    <row r="501" s="154" customFormat="1" x14ac:dyDescent="0.2"/>
    <row r="502" s="154" customFormat="1" x14ac:dyDescent="0.2"/>
    <row r="503" s="154" customFormat="1" x14ac:dyDescent="0.2"/>
    <row r="504" s="154" customFormat="1" x14ac:dyDescent="0.2"/>
    <row r="505" s="154" customFormat="1" x14ac:dyDescent="0.2"/>
    <row r="506" s="154" customFormat="1" x14ac:dyDescent="0.2"/>
    <row r="507" s="154" customFormat="1" x14ac:dyDescent="0.2"/>
    <row r="508" s="154" customFormat="1" x14ac:dyDescent="0.2"/>
    <row r="509" s="154" customFormat="1" x14ac:dyDescent="0.2"/>
    <row r="510" s="154" customFormat="1" x14ac:dyDescent="0.2"/>
    <row r="511" s="154" customFormat="1" x14ac:dyDescent="0.2"/>
    <row r="512" s="154" customFormat="1" x14ac:dyDescent="0.2"/>
    <row r="513" s="154" customFormat="1" x14ac:dyDescent="0.2"/>
    <row r="514" s="154" customFormat="1" x14ac:dyDescent="0.2"/>
    <row r="515" s="154" customFormat="1" x14ac:dyDescent="0.2"/>
    <row r="516" s="154" customFormat="1" x14ac:dyDescent="0.2"/>
    <row r="517" s="154" customFormat="1" x14ac:dyDescent="0.2"/>
    <row r="518" s="154" customFormat="1" x14ac:dyDescent="0.2"/>
    <row r="519" s="154" customFormat="1" x14ac:dyDescent="0.2"/>
    <row r="520" s="154" customFormat="1" x14ac:dyDescent="0.2"/>
    <row r="521" s="154" customFormat="1" x14ac:dyDescent="0.2"/>
    <row r="522" s="154" customFormat="1" x14ac:dyDescent="0.2"/>
    <row r="523" s="154" customFormat="1" x14ac:dyDescent="0.2"/>
    <row r="524" s="154" customFormat="1" x14ac:dyDescent="0.2"/>
    <row r="525" s="154" customFormat="1" x14ac:dyDescent="0.2"/>
    <row r="526" s="154" customFormat="1" x14ac:dyDescent="0.2"/>
    <row r="527" s="154" customFormat="1" x14ac:dyDescent="0.2"/>
    <row r="528" s="154" customFormat="1" x14ac:dyDescent="0.2"/>
    <row r="529" s="154" customFormat="1" x14ac:dyDescent="0.2"/>
    <row r="530" s="154" customFormat="1" x14ac:dyDescent="0.2"/>
    <row r="531" s="154" customFormat="1" x14ac:dyDescent="0.2"/>
    <row r="532" s="154" customFormat="1" x14ac:dyDescent="0.2"/>
    <row r="533" s="154" customFormat="1" x14ac:dyDescent="0.2"/>
    <row r="534" s="154" customFormat="1" x14ac:dyDescent="0.2"/>
    <row r="535" s="154" customFormat="1" x14ac:dyDescent="0.2"/>
    <row r="536" s="154" customFormat="1" x14ac:dyDescent="0.2"/>
    <row r="537" s="154" customFormat="1" x14ac:dyDescent="0.2"/>
    <row r="538" s="154" customFormat="1" x14ac:dyDescent="0.2"/>
    <row r="539" s="154" customFormat="1" x14ac:dyDescent="0.2"/>
    <row r="540" s="154" customFormat="1" x14ac:dyDescent="0.2"/>
    <row r="541" s="154" customFormat="1" x14ac:dyDescent="0.2"/>
    <row r="542" s="154" customFormat="1" x14ac:dyDescent="0.2"/>
    <row r="543" s="154" customFormat="1" x14ac:dyDescent="0.2"/>
    <row r="544" s="154" customFormat="1" x14ac:dyDescent="0.2"/>
    <row r="545" s="154" customFormat="1" x14ac:dyDescent="0.2"/>
    <row r="546" s="154" customFormat="1" x14ac:dyDescent="0.2"/>
    <row r="547" s="154" customFormat="1" x14ac:dyDescent="0.2"/>
    <row r="548" s="154" customFormat="1" x14ac:dyDescent="0.2"/>
    <row r="549" s="154" customFormat="1" x14ac:dyDescent="0.2"/>
    <row r="550" s="154" customFormat="1" x14ac:dyDescent="0.2"/>
    <row r="551" s="154" customFormat="1" x14ac:dyDescent="0.2"/>
    <row r="552" s="154" customFormat="1" x14ac:dyDescent="0.2"/>
    <row r="553" s="154" customFormat="1" x14ac:dyDescent="0.2"/>
    <row r="554" s="154" customFormat="1" x14ac:dyDescent="0.2"/>
    <row r="555" s="154" customFormat="1" x14ac:dyDescent="0.2"/>
    <row r="556" s="154" customFormat="1" x14ac:dyDescent="0.2"/>
    <row r="557" s="154" customFormat="1" x14ac:dyDescent="0.2"/>
    <row r="558" s="154" customFormat="1" x14ac:dyDescent="0.2"/>
    <row r="559" s="154" customFormat="1" x14ac:dyDescent="0.2"/>
    <row r="560" s="154" customFormat="1" x14ac:dyDescent="0.2"/>
    <row r="561" s="154" customFormat="1" x14ac:dyDescent="0.2"/>
    <row r="562" s="154" customFormat="1" x14ac:dyDescent="0.2"/>
    <row r="563" s="154" customFormat="1" x14ac:dyDescent="0.2"/>
    <row r="564" s="154" customFormat="1" x14ac:dyDescent="0.2"/>
    <row r="565" s="154" customFormat="1" x14ac:dyDescent="0.2"/>
    <row r="566" s="154" customFormat="1" x14ac:dyDescent="0.2"/>
    <row r="567" s="154" customFormat="1" x14ac:dyDescent="0.2"/>
    <row r="568" s="154" customFormat="1" x14ac:dyDescent="0.2"/>
    <row r="569" s="154" customFormat="1" x14ac:dyDescent="0.2"/>
    <row r="570" s="154" customFormat="1" x14ac:dyDescent="0.2"/>
    <row r="571" s="154" customFormat="1" x14ac:dyDescent="0.2"/>
    <row r="572" s="154" customFormat="1" x14ac:dyDescent="0.2"/>
    <row r="573" s="154" customFormat="1" x14ac:dyDescent="0.2"/>
    <row r="574" s="154" customFormat="1" x14ac:dyDescent="0.2"/>
    <row r="575" s="154" customFormat="1" x14ac:dyDescent="0.2"/>
    <row r="576" s="154" customFormat="1" x14ac:dyDescent="0.2"/>
    <row r="577" s="154" customFormat="1" x14ac:dyDescent="0.2"/>
    <row r="578" s="154" customFormat="1" x14ac:dyDescent="0.2"/>
    <row r="579" s="154" customFormat="1" x14ac:dyDescent="0.2"/>
    <row r="580" s="154" customFormat="1" x14ac:dyDescent="0.2"/>
    <row r="581" s="154" customFormat="1" x14ac:dyDescent="0.2"/>
    <row r="582" s="154" customFormat="1" x14ac:dyDescent="0.2"/>
    <row r="583" s="154" customFormat="1" x14ac:dyDescent="0.2"/>
    <row r="584" s="154" customFormat="1" x14ac:dyDescent="0.2"/>
    <row r="585" s="154" customFormat="1" x14ac:dyDescent="0.2"/>
    <row r="586" s="154" customFormat="1" x14ac:dyDescent="0.2"/>
    <row r="587" s="154" customFormat="1" x14ac:dyDescent="0.2"/>
    <row r="588" s="154" customFormat="1" x14ac:dyDescent="0.2"/>
    <row r="589" s="154" customFormat="1" x14ac:dyDescent="0.2"/>
    <row r="590" s="154" customFormat="1" x14ac:dyDescent="0.2"/>
    <row r="591" s="154" customFormat="1" x14ac:dyDescent="0.2"/>
    <row r="592" s="154" customFormat="1" x14ac:dyDescent="0.2"/>
    <row r="593" s="154" customFormat="1" x14ac:dyDescent="0.2"/>
    <row r="594" s="154" customFormat="1" x14ac:dyDescent="0.2"/>
    <row r="595" s="154" customFormat="1" x14ac:dyDescent="0.2"/>
    <row r="596" s="154" customFormat="1" x14ac:dyDescent="0.2"/>
    <row r="597" s="154" customFormat="1" x14ac:dyDescent="0.2"/>
    <row r="598" s="154" customFormat="1" x14ac:dyDescent="0.2"/>
    <row r="599" s="154" customFormat="1" x14ac:dyDescent="0.2"/>
    <row r="600" s="154" customFormat="1" x14ac:dyDescent="0.2"/>
    <row r="601" s="154" customFormat="1" x14ac:dyDescent="0.2"/>
    <row r="602" s="154" customFormat="1" x14ac:dyDescent="0.2"/>
    <row r="603" s="154" customFormat="1" x14ac:dyDescent="0.2"/>
    <row r="604" s="154" customFormat="1" x14ac:dyDescent="0.2"/>
    <row r="605" s="154" customFormat="1" x14ac:dyDescent="0.2"/>
    <row r="606" s="154" customFormat="1" x14ac:dyDescent="0.2"/>
    <row r="607" s="154" customFormat="1" x14ac:dyDescent="0.2"/>
    <row r="608" s="154" customFormat="1" x14ac:dyDescent="0.2"/>
    <row r="609" s="154" customFormat="1" x14ac:dyDescent="0.2"/>
    <row r="610" s="154" customFormat="1" x14ac:dyDescent="0.2"/>
    <row r="611" s="154" customFormat="1" x14ac:dyDescent="0.2"/>
    <row r="612" s="154" customFormat="1" x14ac:dyDescent="0.2"/>
    <row r="613" s="154" customFormat="1" x14ac:dyDescent="0.2"/>
    <row r="614" s="154" customFormat="1" x14ac:dyDescent="0.2"/>
    <row r="615" s="154" customFormat="1" x14ac:dyDescent="0.2"/>
    <row r="616" s="154" customFormat="1" x14ac:dyDescent="0.2"/>
    <row r="617" s="154" customFormat="1" x14ac:dyDescent="0.2"/>
    <row r="618" s="154" customFormat="1" x14ac:dyDescent="0.2"/>
    <row r="619" s="154" customFormat="1" x14ac:dyDescent="0.2"/>
    <row r="620" s="154" customFormat="1" x14ac:dyDescent="0.2"/>
    <row r="621" s="154" customFormat="1" x14ac:dyDescent="0.2"/>
    <row r="622" s="154" customFormat="1" x14ac:dyDescent="0.2"/>
    <row r="623" s="154" customFormat="1" x14ac:dyDescent="0.2"/>
    <row r="624" s="154" customFormat="1" x14ac:dyDescent="0.2"/>
    <row r="625" s="154" customFormat="1" x14ac:dyDescent="0.2"/>
    <row r="626" s="154" customFormat="1" x14ac:dyDescent="0.2"/>
    <row r="627" s="154" customFormat="1" x14ac:dyDescent="0.2"/>
    <row r="628" s="154" customFormat="1" x14ac:dyDescent="0.2"/>
    <row r="629" s="154" customFormat="1" x14ac:dyDescent="0.2"/>
    <row r="630" s="154" customFormat="1" x14ac:dyDescent="0.2"/>
    <row r="631" s="154" customFormat="1" x14ac:dyDescent="0.2"/>
    <row r="632" s="154" customFormat="1" x14ac:dyDescent="0.2"/>
    <row r="633" s="154" customFormat="1" x14ac:dyDescent="0.2"/>
    <row r="634" s="154" customFormat="1" x14ac:dyDescent="0.2"/>
    <row r="635" s="154" customFormat="1" x14ac:dyDescent="0.2"/>
    <row r="636" s="154" customFormat="1" x14ac:dyDescent="0.2"/>
    <row r="637" s="154" customFormat="1" x14ac:dyDescent="0.2"/>
    <row r="638" s="154" customFormat="1" x14ac:dyDescent="0.2"/>
    <row r="639" s="154" customFormat="1" x14ac:dyDescent="0.2"/>
    <row r="640" s="154" customFormat="1" x14ac:dyDescent="0.2"/>
    <row r="641" s="154" customFormat="1" x14ac:dyDescent="0.2"/>
    <row r="642" s="154" customFormat="1" x14ac:dyDescent="0.2"/>
    <row r="643" s="154" customFormat="1" x14ac:dyDescent="0.2"/>
    <row r="644" s="154" customFormat="1" x14ac:dyDescent="0.2"/>
    <row r="645" s="154" customFormat="1" x14ac:dyDescent="0.2"/>
    <row r="646" s="154" customFormat="1" x14ac:dyDescent="0.2"/>
    <row r="647" s="154" customFormat="1" x14ac:dyDescent="0.2"/>
    <row r="648" s="154" customFormat="1" x14ac:dyDescent="0.2"/>
    <row r="649" s="154" customFormat="1" x14ac:dyDescent="0.2"/>
    <row r="650" s="154" customFormat="1" x14ac:dyDescent="0.2"/>
    <row r="651" s="154" customFormat="1" x14ac:dyDescent="0.2"/>
    <row r="652" s="154" customFormat="1" x14ac:dyDescent="0.2"/>
    <row r="653" s="154" customFormat="1" x14ac:dyDescent="0.2"/>
    <row r="654" s="154" customFormat="1" x14ac:dyDescent="0.2"/>
    <row r="655" s="154" customFormat="1" x14ac:dyDescent="0.2"/>
    <row r="656" s="154" customFormat="1" x14ac:dyDescent="0.2"/>
    <row r="657" s="154" customFormat="1" x14ac:dyDescent="0.2"/>
    <row r="658" s="154" customFormat="1" x14ac:dyDescent="0.2"/>
    <row r="659" s="154" customFormat="1" x14ac:dyDescent="0.2"/>
    <row r="660" s="154" customFormat="1" x14ac:dyDescent="0.2"/>
    <row r="661" s="154" customFormat="1" x14ac:dyDescent="0.2"/>
    <row r="662" s="154" customFormat="1" x14ac:dyDescent="0.2"/>
    <row r="663" s="154" customFormat="1" x14ac:dyDescent="0.2"/>
    <row r="664" s="154" customFormat="1" x14ac:dyDescent="0.2"/>
    <row r="665" s="154" customFormat="1" x14ac:dyDescent="0.2"/>
    <row r="666" s="154" customFormat="1" x14ac:dyDescent="0.2"/>
    <row r="667" s="154" customFormat="1" x14ac:dyDescent="0.2"/>
    <row r="668" s="154" customFormat="1" x14ac:dyDescent="0.2"/>
    <row r="669" s="154" customFormat="1" x14ac:dyDescent="0.2"/>
    <row r="670" s="154" customFormat="1" x14ac:dyDescent="0.2"/>
    <row r="671" s="154" customFormat="1" x14ac:dyDescent="0.2"/>
    <row r="672" s="154" customFormat="1" x14ac:dyDescent="0.2"/>
    <row r="673" s="154" customFormat="1" x14ac:dyDescent="0.2"/>
    <row r="674" s="154" customFormat="1" x14ac:dyDescent="0.2"/>
    <row r="675" s="154" customFormat="1" x14ac:dyDescent="0.2"/>
    <row r="676" s="154" customFormat="1" x14ac:dyDescent="0.2"/>
    <row r="677" s="154" customFormat="1" x14ac:dyDescent="0.2"/>
    <row r="678" s="154" customFormat="1" x14ac:dyDescent="0.2"/>
    <row r="679" s="154" customFormat="1" x14ac:dyDescent="0.2"/>
    <row r="680" s="154" customFormat="1" x14ac:dyDescent="0.2"/>
    <row r="681" s="154" customFormat="1" x14ac:dyDescent="0.2"/>
    <row r="682" s="154" customFormat="1" x14ac:dyDescent="0.2"/>
    <row r="683" s="154" customFormat="1" x14ac:dyDescent="0.2"/>
    <row r="684" s="154" customFormat="1" x14ac:dyDescent="0.2"/>
    <row r="685" s="154" customFormat="1" x14ac:dyDescent="0.2"/>
    <row r="686" s="154" customFormat="1" x14ac:dyDescent="0.2"/>
    <row r="687" s="154" customFormat="1" x14ac:dyDescent="0.2"/>
    <row r="688" s="154" customFormat="1" x14ac:dyDescent="0.2"/>
    <row r="689" s="154" customFormat="1" x14ac:dyDescent="0.2"/>
    <row r="690" s="154" customFormat="1" x14ac:dyDescent="0.2"/>
    <row r="691" s="154" customFormat="1" x14ac:dyDescent="0.2"/>
    <row r="692" s="154" customFormat="1" x14ac:dyDescent="0.2"/>
  </sheetData>
  <mergeCells count="1">
    <mergeCell ref="M2:N2"/>
  </mergeCells>
  <phoneticPr fontId="2" type="noConversion"/>
  <conditionalFormatting sqref="B3:D3">
    <cfRule type="cellIs" dxfId="9" priority="1" stopIfTrue="1" operator="equal">
      <formula>0</formula>
    </cfRule>
  </conditionalFormatting>
  <pageMargins left="0.74803149606299213" right="0.74803149606299213" top="0.98425196850393704" bottom="0.98425196850393704" header="0.51181102362204722" footer="0.51181102362204722"/>
  <pageSetup scale="93" fitToWidth="2" orientation="landscape" horizontalDpi="4294967293"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FP595"/>
  <sheetViews>
    <sheetView showGridLines="0" zoomScaleNormal="100" workbookViewId="0">
      <selection activeCell="C3" sqref="C3:E3"/>
    </sheetView>
  </sheetViews>
  <sheetFormatPr defaultRowHeight="12.75" x14ac:dyDescent="0.2"/>
  <cols>
    <col min="1" max="1" width="11" customWidth="1"/>
    <col min="2" max="5" width="10" customWidth="1"/>
    <col min="6" max="7" width="11" customWidth="1"/>
    <col min="8" max="9" width="10" customWidth="1"/>
    <col min="10" max="10" width="2.85546875" customWidth="1"/>
    <col min="11" max="11" width="9.140625" style="161"/>
    <col min="12" max="12" width="9.7109375" style="161" customWidth="1"/>
    <col min="13" max="13" width="12.42578125" style="161" customWidth="1"/>
    <col min="14" max="14" width="11.85546875" style="161" customWidth="1"/>
    <col min="15" max="15" width="12.28515625" style="161" customWidth="1"/>
    <col min="16" max="101" width="9.140625" style="161"/>
    <col min="102" max="172" width="9.140625" style="158"/>
  </cols>
  <sheetData>
    <row r="1" spans="1:34" ht="22.5" customHeight="1" x14ac:dyDescent="0.35">
      <c r="A1" s="331" t="s">
        <v>48</v>
      </c>
      <c r="B1" s="332"/>
      <c r="C1" s="332"/>
      <c r="D1" s="332"/>
      <c r="E1" s="332"/>
      <c r="F1" s="332"/>
      <c r="G1" s="332"/>
      <c r="H1" s="332"/>
      <c r="I1" s="332"/>
      <c r="J1" s="105"/>
      <c r="K1" s="162"/>
      <c r="L1" s="162"/>
      <c r="M1" s="162"/>
      <c r="N1" s="162"/>
      <c r="O1" s="162"/>
      <c r="P1" s="163"/>
      <c r="Q1" s="162"/>
      <c r="R1" s="162"/>
      <c r="S1" s="162"/>
      <c r="T1" s="162"/>
      <c r="U1" s="162"/>
      <c r="V1" s="162"/>
      <c r="W1" s="162"/>
      <c r="X1" s="160"/>
      <c r="Y1" s="160"/>
      <c r="Z1" s="160"/>
      <c r="AA1" s="160"/>
      <c r="AB1" s="160"/>
      <c r="AC1" s="160"/>
      <c r="AD1" s="160"/>
      <c r="AE1" s="160"/>
      <c r="AF1" s="160"/>
      <c r="AG1" s="160"/>
      <c r="AH1" s="160"/>
    </row>
    <row r="2" spans="1:34" ht="15" customHeight="1" thickBot="1" x14ac:dyDescent="0.3">
      <c r="A2" s="1"/>
      <c r="B2" s="1"/>
      <c r="C2" s="1"/>
      <c r="D2" s="1"/>
      <c r="E2" s="1"/>
      <c r="I2" s="96"/>
      <c r="J2" s="105"/>
      <c r="K2" s="162"/>
      <c r="L2" s="162"/>
      <c r="M2" s="164" t="s">
        <v>56</v>
      </c>
      <c r="N2" s="165"/>
      <c r="O2" s="213"/>
      <c r="P2" s="163"/>
      <c r="Q2" s="163"/>
      <c r="R2" s="162"/>
      <c r="S2" s="162"/>
      <c r="T2" s="162"/>
      <c r="U2" s="162"/>
      <c r="V2" s="162"/>
      <c r="W2" s="162"/>
      <c r="X2" s="160"/>
      <c r="Y2" s="160"/>
      <c r="Z2" s="160"/>
      <c r="AA2" s="160"/>
      <c r="AB2" s="160"/>
      <c r="AC2" s="160"/>
      <c r="AD2" s="160"/>
      <c r="AE2" s="160"/>
      <c r="AF2" s="160"/>
      <c r="AG2" s="160"/>
      <c r="AH2" s="160"/>
    </row>
    <row r="3" spans="1:34" ht="12.75" customHeight="1" thickTop="1" x14ac:dyDescent="0.2">
      <c r="A3" s="347" t="s">
        <v>36</v>
      </c>
      <c r="B3" s="348"/>
      <c r="C3" s="349"/>
      <c r="D3" s="350"/>
      <c r="E3" s="351"/>
      <c r="F3" s="92"/>
      <c r="G3" s="93"/>
      <c r="H3" s="93"/>
      <c r="I3" s="94"/>
      <c r="J3" s="105"/>
      <c r="K3" s="162"/>
      <c r="L3" s="162"/>
      <c r="M3" s="166" t="s">
        <v>57</v>
      </c>
      <c r="N3" s="167"/>
      <c r="O3" s="214"/>
      <c r="P3" s="162"/>
      <c r="Q3" s="162"/>
      <c r="R3" s="162"/>
      <c r="S3" s="162"/>
      <c r="T3" s="162"/>
      <c r="U3" s="162"/>
      <c r="V3" s="162"/>
      <c r="W3" s="162"/>
      <c r="X3" s="160"/>
      <c r="Y3" s="160"/>
      <c r="Z3" s="160"/>
      <c r="AA3" s="160"/>
      <c r="AB3" s="160"/>
      <c r="AC3" s="160"/>
      <c r="AD3" s="160"/>
      <c r="AE3" s="160"/>
      <c r="AF3" s="160"/>
      <c r="AG3" s="160"/>
      <c r="AH3" s="160"/>
    </row>
    <row r="4" spans="1:34" ht="12.75" customHeight="1" x14ac:dyDescent="0.2">
      <c r="A4" s="352" t="s">
        <v>0</v>
      </c>
      <c r="B4" s="353"/>
      <c r="C4" s="299"/>
      <c r="D4" s="342"/>
      <c r="E4" s="343"/>
      <c r="F4" s="337" t="s">
        <v>30</v>
      </c>
      <c r="G4" s="338"/>
      <c r="H4" s="336"/>
      <c r="I4" s="334"/>
      <c r="J4" s="105"/>
      <c r="K4" s="162"/>
      <c r="L4" s="162"/>
      <c r="M4" s="168" t="s">
        <v>12</v>
      </c>
      <c r="N4" s="169" t="s">
        <v>18</v>
      </c>
      <c r="O4" s="215"/>
      <c r="P4" s="170"/>
      <c r="Q4" s="170"/>
      <c r="R4" s="162"/>
      <c r="S4" s="170"/>
      <c r="T4" s="170"/>
      <c r="U4" s="170"/>
      <c r="V4" s="162"/>
      <c r="W4" s="162"/>
      <c r="X4" s="160"/>
      <c r="Y4" s="160"/>
      <c r="Z4" s="160"/>
      <c r="AA4" s="160"/>
      <c r="AB4" s="160"/>
      <c r="AC4" s="160"/>
      <c r="AD4" s="160"/>
      <c r="AE4" s="160"/>
      <c r="AF4" s="160"/>
      <c r="AG4" s="160"/>
      <c r="AH4" s="160"/>
    </row>
    <row r="5" spans="1:34" ht="12.75" customHeight="1" x14ac:dyDescent="0.2">
      <c r="A5" s="352" t="s">
        <v>1</v>
      </c>
      <c r="B5" s="353"/>
      <c r="C5" s="299"/>
      <c r="D5" s="300"/>
      <c r="E5" s="301"/>
      <c r="F5" s="339"/>
      <c r="G5" s="338"/>
      <c r="H5" s="335"/>
      <c r="I5" s="334"/>
      <c r="J5" s="105"/>
      <c r="K5" s="162"/>
      <c r="L5" s="162"/>
      <c r="M5" s="171">
        <v>40</v>
      </c>
      <c r="N5" s="172">
        <v>1.5</v>
      </c>
      <c r="O5" s="216">
        <f t="shared" ref="O5:O12" si="0">IF($C$20 =M5,$C$55,-1)</f>
        <v>-1</v>
      </c>
      <c r="P5" s="170"/>
      <c r="Q5" s="170"/>
      <c r="R5" s="162"/>
      <c r="S5" s="170"/>
      <c r="T5" s="170"/>
      <c r="U5" s="170"/>
      <c r="V5" s="162"/>
      <c r="W5" s="162"/>
      <c r="X5" s="160"/>
      <c r="Y5" s="160"/>
      <c r="Z5" s="160"/>
      <c r="AA5" s="160"/>
      <c r="AB5" s="160"/>
      <c r="AC5" s="160"/>
      <c r="AD5" s="160"/>
      <c r="AE5" s="160"/>
      <c r="AF5" s="160"/>
      <c r="AG5" s="160"/>
      <c r="AH5" s="160"/>
    </row>
    <row r="6" spans="1:34" ht="12.75" customHeight="1" x14ac:dyDescent="0.2">
      <c r="A6" s="352" t="s">
        <v>3</v>
      </c>
      <c r="B6" s="353"/>
      <c r="C6" s="299"/>
      <c r="D6" s="300"/>
      <c r="E6" s="301"/>
      <c r="F6" s="337" t="s">
        <v>19</v>
      </c>
      <c r="G6" s="338"/>
      <c r="H6" s="333"/>
      <c r="I6" s="334"/>
      <c r="J6" s="105"/>
      <c r="K6" s="162"/>
      <c r="L6" s="162"/>
      <c r="M6" s="171">
        <v>50</v>
      </c>
      <c r="N6" s="172">
        <v>1.7</v>
      </c>
      <c r="O6" s="216">
        <f t="shared" si="0"/>
        <v>-1</v>
      </c>
      <c r="P6" s="170"/>
      <c r="Q6" s="170"/>
      <c r="R6" s="162"/>
      <c r="S6" s="170"/>
      <c r="T6" s="170"/>
      <c r="U6" s="170"/>
      <c r="V6" s="162"/>
      <c r="W6" s="162"/>
      <c r="X6" s="160"/>
      <c r="Y6" s="160"/>
      <c r="Z6" s="160"/>
      <c r="AA6" s="160"/>
      <c r="AB6" s="160"/>
      <c r="AC6" s="160"/>
      <c r="AD6" s="160"/>
      <c r="AE6" s="160"/>
      <c r="AF6" s="160"/>
      <c r="AG6" s="160"/>
      <c r="AH6" s="160"/>
    </row>
    <row r="7" spans="1:34" ht="12.75" customHeight="1" x14ac:dyDescent="0.2">
      <c r="A7" s="352" t="s">
        <v>2</v>
      </c>
      <c r="B7" s="353"/>
      <c r="C7" s="299"/>
      <c r="D7" s="300"/>
      <c r="E7" s="301"/>
      <c r="F7" s="339"/>
      <c r="G7" s="338"/>
      <c r="H7" s="335"/>
      <c r="I7" s="334"/>
      <c r="J7" s="105"/>
      <c r="K7" s="162"/>
      <c r="L7" s="162"/>
      <c r="M7" s="171">
        <v>60</v>
      </c>
      <c r="N7" s="172">
        <v>2</v>
      </c>
      <c r="O7" s="216">
        <f t="shared" si="0"/>
        <v>-1</v>
      </c>
      <c r="P7" s="170"/>
      <c r="Q7" s="170"/>
      <c r="R7" s="162"/>
      <c r="S7" s="162"/>
      <c r="T7" s="162"/>
      <c r="U7" s="162"/>
      <c r="V7" s="162"/>
      <c r="W7" s="162"/>
      <c r="X7" s="160"/>
      <c r="Y7" s="160"/>
      <c r="Z7" s="160"/>
      <c r="AA7" s="160"/>
      <c r="AB7" s="160"/>
      <c r="AC7" s="160"/>
      <c r="AD7" s="160"/>
      <c r="AE7" s="160"/>
      <c r="AF7" s="160"/>
      <c r="AG7" s="160"/>
      <c r="AH7" s="160"/>
    </row>
    <row r="8" spans="1:34" ht="12.75" customHeight="1" thickBot="1" x14ac:dyDescent="0.25">
      <c r="A8" s="340" t="s">
        <v>4</v>
      </c>
      <c r="B8" s="341"/>
      <c r="C8" s="344"/>
      <c r="D8" s="345"/>
      <c r="E8" s="346"/>
      <c r="F8" s="95"/>
      <c r="G8" s="96"/>
      <c r="H8" s="96"/>
      <c r="I8" s="97"/>
      <c r="J8" s="105"/>
      <c r="K8" s="162"/>
      <c r="L8" s="162"/>
      <c r="M8" s="171">
        <v>70</v>
      </c>
      <c r="N8" s="172">
        <v>2.2999999999999998</v>
      </c>
      <c r="O8" s="216">
        <f t="shared" si="0"/>
        <v>-1</v>
      </c>
      <c r="P8" s="170"/>
      <c r="Q8" s="170"/>
      <c r="R8" s="162"/>
      <c r="S8" s="170"/>
      <c r="T8" s="170"/>
      <c r="U8" s="170"/>
      <c r="V8" s="162"/>
      <c r="W8" s="162"/>
      <c r="X8" s="160"/>
      <c r="Y8" s="160"/>
      <c r="Z8" s="160"/>
      <c r="AA8" s="160"/>
      <c r="AB8" s="160"/>
      <c r="AC8" s="160"/>
      <c r="AD8" s="160"/>
      <c r="AE8" s="160"/>
      <c r="AF8" s="160"/>
      <c r="AG8" s="160"/>
      <c r="AH8" s="160"/>
    </row>
    <row r="9" spans="1:34" ht="12.75" customHeight="1" thickTop="1" thickBot="1" x14ac:dyDescent="0.25">
      <c r="A9" s="2"/>
      <c r="B9" s="2"/>
      <c r="C9" s="2"/>
      <c r="D9" s="2"/>
      <c r="E9" s="3"/>
      <c r="F9" s="2"/>
      <c r="G9" s="2"/>
      <c r="H9" s="2"/>
      <c r="I9" s="2"/>
      <c r="J9" s="105"/>
      <c r="K9" s="162"/>
      <c r="L9" s="162"/>
      <c r="M9" s="171">
        <v>80</v>
      </c>
      <c r="N9" s="172">
        <v>2.5</v>
      </c>
      <c r="O9" s="216">
        <f t="shared" si="0"/>
        <v>-1</v>
      </c>
      <c r="P9" s="170"/>
      <c r="Q9" s="170"/>
      <c r="R9" s="162"/>
      <c r="S9" s="162"/>
      <c r="T9" s="162"/>
      <c r="U9" s="162"/>
      <c r="V9" s="162"/>
      <c r="W9" s="162"/>
      <c r="X9" s="160"/>
      <c r="Y9" s="160"/>
      <c r="Z9" s="160"/>
      <c r="AA9" s="160"/>
      <c r="AB9" s="160"/>
      <c r="AC9" s="160"/>
      <c r="AD9" s="160"/>
      <c r="AE9" s="160"/>
      <c r="AF9" s="160"/>
      <c r="AG9" s="160"/>
      <c r="AH9" s="160"/>
    </row>
    <row r="10" spans="1:34" ht="12.75" customHeight="1" thickTop="1" x14ac:dyDescent="0.2">
      <c r="A10" s="295" t="s">
        <v>41</v>
      </c>
      <c r="B10" s="296"/>
      <c r="C10" s="309"/>
      <c r="D10" s="310"/>
      <c r="E10" s="311"/>
      <c r="F10" s="206" t="s">
        <v>42</v>
      </c>
      <c r="G10" s="302"/>
      <c r="H10" s="303"/>
      <c r="I10" s="304"/>
      <c r="J10" s="105"/>
      <c r="K10" s="162"/>
      <c r="L10" s="162"/>
      <c r="M10" s="171">
        <v>90</v>
      </c>
      <c r="N10" s="172">
        <v>2.9</v>
      </c>
      <c r="O10" s="216">
        <f t="shared" si="0"/>
        <v>-1</v>
      </c>
      <c r="P10" s="170"/>
      <c r="Q10" s="170"/>
      <c r="R10" s="162"/>
      <c r="S10" s="162"/>
      <c r="T10" s="162"/>
      <c r="U10" s="162"/>
      <c r="V10" s="162"/>
      <c r="W10" s="162"/>
      <c r="X10" s="160"/>
      <c r="Y10" s="160"/>
      <c r="Z10" s="160"/>
      <c r="AA10" s="160"/>
      <c r="AB10" s="160"/>
      <c r="AC10" s="160"/>
      <c r="AD10" s="160"/>
      <c r="AE10" s="160"/>
      <c r="AF10" s="160"/>
      <c r="AG10" s="160"/>
      <c r="AH10" s="160"/>
    </row>
    <row r="11" spans="1:34" ht="12.75" customHeight="1" x14ac:dyDescent="0.2">
      <c r="A11" s="297" t="s">
        <v>6</v>
      </c>
      <c r="B11" s="298"/>
      <c r="C11" s="305" t="s">
        <v>5</v>
      </c>
      <c r="D11" s="308"/>
      <c r="E11" s="306"/>
      <c r="F11" s="305" t="s">
        <v>7</v>
      </c>
      <c r="G11" s="306"/>
      <c r="H11" s="305" t="s">
        <v>40</v>
      </c>
      <c r="I11" s="307"/>
      <c r="J11" s="105"/>
      <c r="K11" s="162"/>
      <c r="L11" s="162"/>
      <c r="M11" s="171">
        <v>100</v>
      </c>
      <c r="N11" s="172">
        <v>3.1</v>
      </c>
      <c r="O11" s="216">
        <f t="shared" si="0"/>
        <v>-1</v>
      </c>
      <c r="P11" s="170"/>
      <c r="Q11" s="170"/>
      <c r="R11" s="162"/>
      <c r="S11" s="162"/>
      <c r="T11" s="162"/>
      <c r="U11" s="162"/>
      <c r="V11" s="162"/>
      <c r="W11" s="162"/>
      <c r="X11" s="160"/>
      <c r="Y11" s="160"/>
      <c r="Z11" s="160"/>
      <c r="AA11" s="160"/>
      <c r="AB11" s="160"/>
      <c r="AC11" s="160"/>
      <c r="AD11" s="160"/>
      <c r="AE11" s="160"/>
      <c r="AF11" s="160"/>
      <c r="AG11" s="160"/>
      <c r="AH11" s="160"/>
    </row>
    <row r="12" spans="1:34" ht="12.75" customHeight="1" x14ac:dyDescent="0.2">
      <c r="A12" s="291" t="s">
        <v>8</v>
      </c>
      <c r="B12" s="292"/>
      <c r="C12" s="321"/>
      <c r="D12" s="322"/>
      <c r="E12" s="323"/>
      <c r="F12" s="315"/>
      <c r="G12" s="316"/>
      <c r="H12" s="315"/>
      <c r="I12" s="319"/>
      <c r="J12" s="106"/>
      <c r="K12" s="162"/>
      <c r="L12" s="162"/>
      <c r="M12" s="217">
        <v>110</v>
      </c>
      <c r="N12" s="218">
        <v>3.2</v>
      </c>
      <c r="O12" s="219">
        <f t="shared" si="0"/>
        <v>-1</v>
      </c>
      <c r="P12" s="170"/>
      <c r="Q12" s="170"/>
      <c r="R12" s="162"/>
      <c r="S12" s="162"/>
      <c r="T12" s="162"/>
      <c r="U12" s="162"/>
      <c r="V12" s="162"/>
      <c r="W12" s="162"/>
      <c r="X12" s="160"/>
      <c r="Y12" s="160"/>
      <c r="Z12" s="160"/>
      <c r="AA12" s="160"/>
      <c r="AB12" s="160"/>
      <c r="AC12" s="160"/>
      <c r="AD12" s="160"/>
      <c r="AE12" s="160"/>
      <c r="AF12" s="160"/>
      <c r="AG12" s="160"/>
      <c r="AH12" s="160"/>
    </row>
    <row r="13" spans="1:34" ht="12.75" customHeight="1" thickBot="1" x14ac:dyDescent="0.25">
      <c r="A13" s="293" t="s">
        <v>9</v>
      </c>
      <c r="B13" s="294"/>
      <c r="C13" s="324"/>
      <c r="D13" s="325"/>
      <c r="E13" s="326"/>
      <c r="F13" s="317"/>
      <c r="G13" s="320"/>
      <c r="H13" s="317"/>
      <c r="I13" s="318"/>
      <c r="J13" s="106"/>
      <c r="K13" s="162"/>
      <c r="L13" s="162"/>
      <c r="M13" s="162"/>
      <c r="N13" s="162"/>
      <c r="O13" s="162"/>
      <c r="P13" s="162"/>
      <c r="Q13" s="162"/>
      <c r="R13" s="162"/>
      <c r="S13" s="162"/>
      <c r="T13" s="162"/>
      <c r="U13" s="162"/>
      <c r="V13" s="162"/>
      <c r="W13" s="162"/>
      <c r="X13" s="160"/>
      <c r="Y13" s="160"/>
      <c r="Z13" s="160"/>
      <c r="AA13" s="160"/>
      <c r="AB13" s="160"/>
      <c r="AC13" s="160"/>
      <c r="AD13" s="160"/>
      <c r="AE13" s="160"/>
      <c r="AF13" s="160"/>
      <c r="AG13" s="160"/>
      <c r="AH13" s="160"/>
    </row>
    <row r="14" spans="1:34" ht="12.75" customHeight="1" thickTop="1" thickBot="1" x14ac:dyDescent="0.25">
      <c r="A14" s="2"/>
      <c r="B14" s="2"/>
      <c r="C14" s="314"/>
      <c r="D14" s="314"/>
      <c r="E14" s="314"/>
      <c r="F14" s="314"/>
      <c r="G14" s="2"/>
      <c r="H14" s="2"/>
      <c r="I14" s="2"/>
      <c r="J14" s="106"/>
      <c r="K14" s="162"/>
      <c r="L14" s="162"/>
      <c r="M14" s="162"/>
      <c r="N14" s="162"/>
      <c r="O14" s="162"/>
      <c r="P14" s="162"/>
      <c r="Q14" s="162"/>
      <c r="R14" s="162"/>
      <c r="S14" s="162"/>
      <c r="T14" s="162"/>
      <c r="U14" s="162"/>
      <c r="V14" s="162"/>
      <c r="W14" s="162"/>
      <c r="X14" s="160"/>
      <c r="Y14" s="160"/>
      <c r="Z14" s="160"/>
      <c r="AA14" s="160"/>
      <c r="AB14" s="160"/>
      <c r="AC14" s="160"/>
      <c r="AD14" s="160"/>
      <c r="AE14" s="160"/>
      <c r="AF14" s="160"/>
      <c r="AG14" s="160"/>
      <c r="AH14" s="160"/>
    </row>
    <row r="15" spans="1:34" ht="12.75" customHeight="1" x14ac:dyDescent="0.2">
      <c r="A15" s="360" t="s">
        <v>61</v>
      </c>
      <c r="B15" s="361"/>
      <c r="C15" s="210"/>
      <c r="D15" s="210"/>
      <c r="E15" s="211"/>
      <c r="F15" s="207"/>
      <c r="G15" s="207"/>
      <c r="H15" s="208"/>
      <c r="I15" s="208"/>
      <c r="J15" s="106"/>
      <c r="K15" s="162"/>
      <c r="L15" s="162"/>
      <c r="M15" s="162"/>
      <c r="N15" s="162"/>
      <c r="O15" s="162"/>
      <c r="P15" s="162"/>
      <c r="Q15" s="162"/>
      <c r="R15" s="162"/>
      <c r="S15" s="162"/>
      <c r="T15" s="162"/>
      <c r="U15" s="162"/>
      <c r="V15" s="162"/>
      <c r="W15" s="162"/>
      <c r="X15" s="160"/>
      <c r="Y15" s="160"/>
      <c r="Z15" s="160"/>
      <c r="AA15" s="160"/>
      <c r="AB15" s="160"/>
      <c r="AC15" s="160"/>
      <c r="AD15" s="160"/>
      <c r="AE15" s="160"/>
      <c r="AF15" s="160"/>
      <c r="AG15" s="160"/>
      <c r="AH15" s="160"/>
    </row>
    <row r="16" spans="1:34" ht="12.75" customHeight="1" x14ac:dyDescent="0.2">
      <c r="A16" s="362" t="s">
        <v>58</v>
      </c>
      <c r="B16" s="363"/>
      <c r="C16" s="321"/>
      <c r="D16" s="322"/>
      <c r="E16" s="327"/>
      <c r="F16" s="207"/>
      <c r="G16" s="207"/>
      <c r="H16" s="207"/>
      <c r="I16" s="207"/>
      <c r="J16" s="106"/>
      <c r="K16" s="162"/>
      <c r="L16" s="162"/>
      <c r="M16" s="162"/>
      <c r="N16" s="162"/>
      <c r="O16" s="162"/>
      <c r="P16" s="162"/>
      <c r="Q16" s="162"/>
      <c r="R16" s="162"/>
      <c r="S16" s="162"/>
      <c r="T16" s="162"/>
      <c r="U16" s="162"/>
      <c r="V16" s="162"/>
      <c r="W16" s="162"/>
      <c r="X16" s="160"/>
      <c r="Y16" s="160"/>
      <c r="Z16" s="160"/>
      <c r="AA16" s="160"/>
      <c r="AB16" s="160"/>
      <c r="AC16" s="160"/>
      <c r="AD16" s="160"/>
      <c r="AE16" s="160"/>
      <c r="AF16" s="160"/>
      <c r="AG16" s="160"/>
      <c r="AH16" s="160"/>
    </row>
    <row r="17" spans="1:172" ht="12.75" customHeight="1" x14ac:dyDescent="0.2">
      <c r="A17" s="357" t="s">
        <v>59</v>
      </c>
      <c r="B17" s="292"/>
      <c r="C17" s="321"/>
      <c r="D17" s="322"/>
      <c r="E17" s="327"/>
      <c r="F17" s="207"/>
      <c r="G17" s="207"/>
      <c r="H17" s="207"/>
      <c r="I17" s="207"/>
      <c r="J17" s="106"/>
      <c r="K17" s="162"/>
      <c r="L17" s="162"/>
      <c r="M17" s="162"/>
      <c r="N17" s="162"/>
      <c r="O17" s="162"/>
      <c r="P17" s="162"/>
      <c r="Q17" s="162"/>
      <c r="R17" s="162"/>
      <c r="S17" s="162"/>
      <c r="T17" s="162"/>
      <c r="U17" s="162"/>
      <c r="V17" s="162"/>
      <c r="W17" s="162"/>
      <c r="X17" s="160"/>
      <c r="Y17" s="160"/>
      <c r="Z17" s="160"/>
      <c r="AA17" s="160"/>
      <c r="AB17" s="160"/>
      <c r="AC17" s="160"/>
      <c r="AD17" s="160"/>
      <c r="AE17" s="160"/>
      <c r="AF17" s="160"/>
      <c r="AG17" s="160"/>
      <c r="AH17" s="160"/>
    </row>
    <row r="18" spans="1:172" ht="12.75" customHeight="1" thickBot="1" x14ac:dyDescent="0.25">
      <c r="A18" s="358" t="s">
        <v>60</v>
      </c>
      <c r="B18" s="359"/>
      <c r="C18" s="328"/>
      <c r="D18" s="329"/>
      <c r="E18" s="330"/>
      <c r="F18" s="207"/>
      <c r="G18" s="207"/>
      <c r="H18" s="207"/>
      <c r="I18" s="207"/>
      <c r="J18" s="106"/>
      <c r="K18" s="162"/>
      <c r="L18" s="162"/>
      <c r="M18" s="162"/>
      <c r="N18" s="162"/>
      <c r="O18" s="162"/>
      <c r="P18" s="162"/>
      <c r="Q18" s="162"/>
      <c r="R18" s="162"/>
      <c r="S18" s="162"/>
      <c r="T18" s="162"/>
      <c r="U18" s="162"/>
      <c r="V18" s="162"/>
      <c r="W18" s="162"/>
      <c r="X18" s="160"/>
      <c r="Y18" s="160"/>
      <c r="Z18" s="160"/>
      <c r="AA18" s="160"/>
      <c r="AB18" s="160"/>
      <c r="AC18" s="160"/>
      <c r="AD18" s="160"/>
      <c r="AE18" s="160"/>
      <c r="AF18" s="160"/>
      <c r="AG18" s="160"/>
      <c r="AH18" s="160"/>
    </row>
    <row r="19" spans="1:172" ht="12.75" customHeight="1" thickBot="1" x14ac:dyDescent="0.25">
      <c r="A19" s="2"/>
      <c r="B19" s="2"/>
      <c r="C19" s="109"/>
      <c r="D19" s="109"/>
      <c r="E19" s="109"/>
      <c r="F19" s="109"/>
      <c r="G19" s="2"/>
      <c r="H19" s="2"/>
      <c r="I19" s="2"/>
      <c r="J19" s="106"/>
      <c r="K19" s="162"/>
      <c r="L19" s="162"/>
      <c r="M19" s="162"/>
      <c r="N19" s="162"/>
      <c r="O19" s="162"/>
      <c r="P19" s="162"/>
      <c r="Q19" s="162"/>
      <c r="R19" s="162"/>
      <c r="S19" s="162"/>
      <c r="T19" s="162"/>
      <c r="U19" s="162"/>
      <c r="V19" s="162"/>
      <c r="W19" s="162"/>
      <c r="X19" s="160"/>
      <c r="Y19" s="160"/>
      <c r="Z19" s="160"/>
      <c r="AA19" s="160"/>
      <c r="AB19" s="160"/>
      <c r="AC19" s="160"/>
      <c r="AD19" s="160"/>
      <c r="AE19" s="160"/>
      <c r="AF19" s="160"/>
      <c r="AG19" s="160"/>
      <c r="AH19" s="160"/>
    </row>
    <row r="20" spans="1:172" ht="12.75" customHeight="1" x14ac:dyDescent="0.2">
      <c r="A20" s="262" t="s">
        <v>29</v>
      </c>
      <c r="B20" s="263" t="s">
        <v>12</v>
      </c>
      <c r="C20" s="264">
        <f>Data!B3</f>
        <v>0</v>
      </c>
      <c r="D20" s="265" t="s">
        <v>10</v>
      </c>
      <c r="E20" s="266">
        <f>Data!C3</f>
        <v>0</v>
      </c>
      <c r="F20" s="267" t="s">
        <v>77</v>
      </c>
      <c r="G20" s="268">
        <f>Data!D3</f>
        <v>0</v>
      </c>
      <c r="H20" s="103"/>
      <c r="I20" s="103"/>
      <c r="J20" s="107"/>
      <c r="K20" s="162"/>
      <c r="L20" s="162"/>
      <c r="M20" s="162"/>
      <c r="N20" s="162"/>
      <c r="O20" s="162"/>
      <c r="P20" s="162"/>
      <c r="Q20" s="162"/>
      <c r="R20" s="162"/>
      <c r="S20" s="162"/>
      <c r="T20" s="162"/>
      <c r="U20" s="162"/>
      <c r="V20" s="162"/>
      <c r="W20" s="162"/>
      <c r="X20" s="160"/>
      <c r="Y20" s="160"/>
      <c r="Z20" s="160"/>
      <c r="AA20" s="160"/>
      <c r="AB20" s="160"/>
      <c r="AC20" s="160"/>
      <c r="AD20" s="160"/>
      <c r="AE20" s="160"/>
      <c r="AF20" s="160"/>
      <c r="AG20" s="160"/>
      <c r="AH20" s="160"/>
    </row>
    <row r="21" spans="1:172" ht="12.75" customHeight="1" x14ac:dyDescent="0.2">
      <c r="A21" s="278" t="s">
        <v>68</v>
      </c>
      <c r="B21" s="36"/>
      <c r="C21" s="270"/>
      <c r="D21" s="270" t="s">
        <v>70</v>
      </c>
      <c r="E21" s="271"/>
      <c r="F21" s="270"/>
      <c r="G21" s="272" t="s">
        <v>78</v>
      </c>
      <c r="J21" s="105"/>
      <c r="K21" s="162"/>
      <c r="L21" s="162"/>
      <c r="M21" s="162"/>
      <c r="N21" s="162"/>
      <c r="O21" s="162"/>
      <c r="P21" s="162"/>
      <c r="Q21" s="162"/>
      <c r="R21" s="162"/>
      <c r="S21" s="162"/>
      <c r="T21" s="162"/>
      <c r="U21" s="162"/>
      <c r="V21" s="162"/>
      <c r="W21" s="162"/>
      <c r="X21" s="160"/>
      <c r="Y21" s="160"/>
      <c r="Z21" s="160"/>
      <c r="AA21" s="160"/>
      <c r="AB21" s="160"/>
      <c r="AC21" s="160"/>
      <c r="AD21" s="160"/>
      <c r="AE21" s="160"/>
      <c r="AF21" s="160"/>
      <c r="AG21" s="160"/>
      <c r="AH21" s="160"/>
    </row>
    <row r="22" spans="1:172" ht="12.75" customHeight="1" x14ac:dyDescent="0.2">
      <c r="A22" s="269" t="s">
        <v>69</v>
      </c>
      <c r="B22" s="277"/>
      <c r="C22" s="270"/>
      <c r="D22" s="270" t="s">
        <v>71</v>
      </c>
      <c r="E22" s="271"/>
      <c r="F22" s="270"/>
      <c r="G22" s="272" t="s">
        <v>80</v>
      </c>
      <c r="J22" s="105"/>
      <c r="K22" s="162"/>
      <c r="L22" s="162"/>
      <c r="M22" s="162"/>
      <c r="N22" s="162"/>
      <c r="O22" s="162"/>
      <c r="P22" s="162"/>
      <c r="Q22" s="162"/>
      <c r="R22" s="162"/>
      <c r="S22" s="162"/>
      <c r="T22" s="162"/>
      <c r="U22" s="162"/>
      <c r="V22" s="162"/>
      <c r="W22" s="162"/>
      <c r="X22" s="160"/>
      <c r="Y22" s="160"/>
      <c r="Z22" s="160"/>
      <c r="AA22" s="160"/>
      <c r="AB22" s="160"/>
      <c r="AC22" s="160"/>
      <c r="AD22" s="160"/>
      <c r="AE22" s="160"/>
      <c r="AF22" s="160"/>
      <c r="AG22" s="160"/>
      <c r="AH22" s="160"/>
    </row>
    <row r="23" spans="1:172" ht="12.75" customHeight="1" x14ac:dyDescent="0.2">
      <c r="A23" s="147"/>
      <c r="B23" s="277"/>
      <c r="C23" s="270"/>
      <c r="D23" s="270" t="s">
        <v>73</v>
      </c>
      <c r="E23" s="271"/>
      <c r="F23" s="270"/>
      <c r="G23" s="272" t="s">
        <v>79</v>
      </c>
      <c r="J23" s="105"/>
      <c r="K23" s="162"/>
      <c r="L23" s="162"/>
      <c r="M23" s="162"/>
      <c r="N23" s="162"/>
      <c r="O23" s="162"/>
      <c r="P23" s="162"/>
      <c r="Q23" s="162"/>
      <c r="R23" s="162"/>
      <c r="S23" s="162"/>
      <c r="T23" s="162"/>
      <c r="U23" s="162"/>
      <c r="V23" s="162"/>
      <c r="W23" s="162"/>
      <c r="X23" s="160"/>
      <c r="Y23" s="160"/>
      <c r="Z23" s="160"/>
      <c r="AA23" s="160"/>
      <c r="AB23" s="160"/>
      <c r="AC23" s="160"/>
      <c r="AD23" s="160"/>
      <c r="AE23" s="160"/>
      <c r="AF23" s="160"/>
      <c r="AG23" s="160"/>
      <c r="AH23" s="160"/>
    </row>
    <row r="24" spans="1:172" ht="12.75" customHeight="1" x14ac:dyDescent="0.2">
      <c r="A24" s="147"/>
      <c r="B24" s="277"/>
      <c r="C24" s="270"/>
      <c r="D24" s="270" t="s">
        <v>72</v>
      </c>
      <c r="E24" s="271"/>
      <c r="F24" s="271"/>
      <c r="G24" s="273"/>
      <c r="J24" s="105"/>
      <c r="K24" s="162"/>
      <c r="L24" s="162"/>
      <c r="M24" s="162"/>
      <c r="N24" s="162"/>
      <c r="O24" s="162"/>
      <c r="P24" s="162"/>
      <c r="Q24" s="162"/>
      <c r="R24" s="162"/>
      <c r="S24" s="162"/>
      <c r="T24" s="162"/>
      <c r="U24" s="162"/>
      <c r="V24" s="162"/>
      <c r="W24" s="162"/>
      <c r="X24" s="160"/>
      <c r="Y24" s="160"/>
      <c r="Z24" s="160"/>
      <c r="AA24" s="160"/>
      <c r="AB24" s="160"/>
      <c r="AC24" s="160"/>
      <c r="AD24" s="160"/>
      <c r="AE24" s="160"/>
      <c r="AF24" s="160"/>
      <c r="AG24" s="160"/>
      <c r="AH24" s="160"/>
    </row>
    <row r="25" spans="1:172" ht="12.75" customHeight="1" thickBot="1" x14ac:dyDescent="0.25">
      <c r="A25" s="149"/>
      <c r="B25" s="279"/>
      <c r="C25" s="274"/>
      <c r="D25" s="274" t="s">
        <v>74</v>
      </c>
      <c r="E25" s="275"/>
      <c r="F25" s="275"/>
      <c r="G25" s="276"/>
      <c r="J25" s="105"/>
      <c r="K25" s="162"/>
      <c r="L25" s="162"/>
      <c r="M25" s="162"/>
      <c r="N25" s="162"/>
      <c r="O25" s="162"/>
      <c r="P25" s="162"/>
      <c r="Q25" s="162"/>
      <c r="R25" s="162"/>
      <c r="S25" s="162"/>
      <c r="T25" s="162"/>
      <c r="U25" s="162"/>
      <c r="V25" s="162"/>
      <c r="W25" s="162"/>
      <c r="X25" s="160"/>
      <c r="Y25" s="160"/>
      <c r="Z25" s="160"/>
      <c r="AA25" s="160"/>
      <c r="AB25" s="160"/>
      <c r="AC25" s="160"/>
      <c r="AD25" s="160"/>
      <c r="AE25" s="160"/>
      <c r="AF25" s="160"/>
      <c r="AG25" s="160"/>
      <c r="AH25" s="160"/>
    </row>
    <row r="26" spans="1:172" ht="12.75" customHeight="1" thickBot="1" x14ac:dyDescent="0.25">
      <c r="J26" s="105"/>
      <c r="K26" s="162"/>
      <c r="L26" s="162"/>
      <c r="M26" s="162"/>
      <c r="N26" s="162"/>
      <c r="O26" s="162"/>
      <c r="P26" s="162"/>
      <c r="Q26" s="162"/>
      <c r="R26" s="162"/>
      <c r="S26" s="162"/>
      <c r="T26" s="162"/>
      <c r="U26" s="162"/>
      <c r="V26" s="162"/>
      <c r="W26" s="162"/>
      <c r="X26" s="160"/>
      <c r="Y26" s="160"/>
      <c r="Z26" s="160"/>
      <c r="AA26" s="160"/>
      <c r="AB26" s="160"/>
      <c r="AC26" s="160"/>
      <c r="AD26" s="160"/>
      <c r="AE26" s="160"/>
      <c r="AF26" s="160"/>
      <c r="AG26" s="160"/>
      <c r="AH26" s="160"/>
    </row>
    <row r="27" spans="1:172" ht="12.75" customHeight="1" x14ac:dyDescent="0.2">
      <c r="A27" s="123" t="s">
        <v>38</v>
      </c>
      <c r="B27" s="124"/>
      <c r="C27" s="124"/>
      <c r="D27" s="124"/>
      <c r="E27" s="124"/>
      <c r="F27" s="124"/>
      <c r="G27" s="126" t="s">
        <v>50</v>
      </c>
      <c r="H27" s="280">
        <v>5</v>
      </c>
      <c r="I27" s="2"/>
      <c r="J27" s="106"/>
      <c r="K27" s="162"/>
      <c r="L27" s="162"/>
      <c r="M27" s="162"/>
      <c r="N27" s="162"/>
      <c r="O27" s="162"/>
      <c r="P27" s="162"/>
      <c r="Q27" s="162"/>
      <c r="R27" s="162"/>
      <c r="S27" s="162"/>
      <c r="T27" s="162"/>
      <c r="U27" s="162"/>
      <c r="V27" s="162"/>
      <c r="W27" s="162"/>
      <c r="Y27" s="160"/>
      <c r="Z27" s="160"/>
      <c r="AA27" s="160"/>
      <c r="AB27" s="160"/>
      <c r="AC27" s="160"/>
      <c r="AD27" s="160"/>
      <c r="AE27" s="160"/>
      <c r="AF27" s="160"/>
      <c r="AG27" s="160"/>
      <c r="AH27" s="160"/>
    </row>
    <row r="28" spans="1:172" ht="12.75" customHeight="1" x14ac:dyDescent="0.2">
      <c r="A28" s="134" t="s">
        <v>13</v>
      </c>
      <c r="B28" s="50" t="s">
        <v>14</v>
      </c>
      <c r="C28" s="51" t="s">
        <v>15</v>
      </c>
      <c r="D28" s="52"/>
      <c r="E28" s="5"/>
      <c r="F28" s="5"/>
      <c r="G28" s="5"/>
      <c r="H28" s="135"/>
      <c r="I28" s="2"/>
      <c r="J28" s="106"/>
      <c r="K28" s="162"/>
      <c r="L28" s="162"/>
      <c r="M28" s="162"/>
      <c r="N28" s="162"/>
      <c r="O28" s="162"/>
      <c r="P28" s="162"/>
      <c r="Q28" s="162"/>
      <c r="R28" s="162"/>
      <c r="S28" s="162"/>
      <c r="T28" s="162"/>
      <c r="U28" s="162"/>
      <c r="V28" s="162"/>
      <c r="W28" s="162"/>
      <c r="Y28" s="160"/>
      <c r="Z28" s="160"/>
      <c r="AA28" s="160"/>
      <c r="AB28" s="160"/>
      <c r="AC28" s="160"/>
      <c r="AD28" s="160"/>
      <c r="AE28" s="160"/>
      <c r="AF28" s="160"/>
      <c r="AG28" s="160"/>
      <c r="AH28" s="160"/>
    </row>
    <row r="29" spans="1:172" ht="12.75" customHeight="1" x14ac:dyDescent="0.2">
      <c r="A29" s="195">
        <f>Data!B3</f>
        <v>0</v>
      </c>
      <c r="B29" s="53">
        <f>Data!E3</f>
        <v>0</v>
      </c>
      <c r="C29" s="54" t="str">
        <f>IF(A29&gt;0,(B29-A29)/A29*100," ")</f>
        <v xml:space="preserve"> </v>
      </c>
      <c r="D29" s="55"/>
      <c r="E29" s="57" t="s">
        <v>43</v>
      </c>
      <c r="F29" s="58" t="str">
        <f>IF(B33 &gt;0,AVERAGE(B29:B33)," ")</f>
        <v xml:space="preserve"> </v>
      </c>
      <c r="G29" s="60" t="str">
        <f>IF(F30&lt;H27,"PASS","FAIL")</f>
        <v>FAIL</v>
      </c>
      <c r="H29" s="196"/>
      <c r="I29" s="2"/>
      <c r="J29" s="106"/>
      <c r="K29" s="162"/>
      <c r="L29" s="162"/>
      <c r="Y29" s="160"/>
      <c r="Z29" s="160"/>
      <c r="AA29" s="160"/>
      <c r="AB29" s="160"/>
      <c r="AC29" s="160"/>
      <c r="AD29" s="160"/>
      <c r="AE29" s="160"/>
      <c r="AF29" s="160"/>
      <c r="AG29" s="160"/>
      <c r="AH29" s="160"/>
    </row>
    <row r="30" spans="1:172" s="113" customFormat="1" ht="12.75" customHeight="1" x14ac:dyDescent="0.2">
      <c r="A30" s="195">
        <f>Data!B4</f>
        <v>0</v>
      </c>
      <c r="B30" s="53">
        <f>Data!E4</f>
        <v>0</v>
      </c>
      <c r="C30" s="54" t="str">
        <f>IF(A30&gt;0,(B30-A30)/A30*100," ")</f>
        <v xml:space="preserve"> </v>
      </c>
      <c r="D30" s="56"/>
      <c r="E30" s="61" t="s">
        <v>44</v>
      </c>
      <c r="F30" s="58" t="str">
        <f>IF(A33&gt;0,STDEV(B29:B33)/F29*100," ")</f>
        <v xml:space="preserve"> </v>
      </c>
      <c r="G30" s="57"/>
      <c r="H30" s="197" t="str">
        <f>IF(D33 &gt;0,AVERAGE(D29:D33)," ")</f>
        <v xml:space="preserve"> </v>
      </c>
      <c r="I30" s="111"/>
      <c r="J30" s="112"/>
      <c r="K30" s="173"/>
      <c r="L30" s="173"/>
      <c r="M30" s="161"/>
      <c r="N30" s="161"/>
      <c r="O30" s="161"/>
      <c r="P30" s="161"/>
      <c r="Q30" s="161"/>
      <c r="R30" s="161"/>
      <c r="S30" s="161"/>
      <c r="T30" s="161"/>
      <c r="U30" s="161"/>
      <c r="V30" s="161"/>
      <c r="W30" s="161"/>
      <c r="X30" s="161"/>
      <c r="Y30" s="174"/>
      <c r="Z30" s="174"/>
      <c r="AA30" s="174"/>
      <c r="AB30" s="174"/>
      <c r="AC30" s="174"/>
      <c r="AD30" s="174"/>
      <c r="AE30" s="174"/>
      <c r="AF30" s="174"/>
      <c r="AG30" s="174"/>
      <c r="AH30" s="174"/>
      <c r="AI30" s="175"/>
      <c r="AJ30" s="175"/>
      <c r="AK30" s="175"/>
      <c r="AL30" s="175"/>
      <c r="AM30" s="175"/>
      <c r="AN30" s="175"/>
      <c r="AO30" s="175"/>
      <c r="AP30" s="175"/>
      <c r="AQ30" s="175"/>
      <c r="AR30" s="175"/>
      <c r="AS30" s="175"/>
      <c r="AT30" s="175"/>
      <c r="AU30" s="175"/>
      <c r="AV30" s="175"/>
      <c r="AW30" s="175"/>
      <c r="AX30" s="175"/>
      <c r="AY30" s="175"/>
      <c r="AZ30" s="175"/>
      <c r="BA30" s="175"/>
      <c r="BB30" s="175"/>
      <c r="BC30" s="175"/>
      <c r="BD30" s="175"/>
      <c r="BE30" s="175"/>
      <c r="BF30" s="175"/>
      <c r="BG30" s="175"/>
      <c r="BH30" s="175"/>
      <c r="BI30" s="175"/>
      <c r="BJ30" s="175"/>
      <c r="BK30" s="175"/>
      <c r="BL30" s="175"/>
      <c r="BM30" s="175"/>
      <c r="BN30" s="175"/>
      <c r="BO30" s="175"/>
      <c r="BP30" s="175"/>
      <c r="BQ30" s="175"/>
      <c r="BR30" s="175"/>
      <c r="BS30" s="175"/>
      <c r="BT30" s="175"/>
      <c r="BU30" s="175"/>
      <c r="BV30" s="175"/>
      <c r="BW30" s="175"/>
      <c r="BX30" s="175"/>
      <c r="BY30" s="175"/>
      <c r="BZ30" s="175"/>
      <c r="CA30" s="175"/>
      <c r="CB30" s="175"/>
      <c r="CC30" s="175"/>
      <c r="CD30" s="175"/>
      <c r="CE30" s="175"/>
      <c r="CF30" s="175"/>
      <c r="CG30" s="175"/>
      <c r="CH30" s="175"/>
      <c r="CI30" s="175"/>
      <c r="CJ30" s="175"/>
      <c r="CK30" s="175"/>
      <c r="CL30" s="175"/>
      <c r="CM30" s="175"/>
      <c r="CN30" s="175"/>
      <c r="CO30" s="175"/>
      <c r="CP30" s="175"/>
      <c r="CQ30" s="175"/>
      <c r="CR30" s="175"/>
      <c r="CS30" s="175"/>
      <c r="CT30" s="175"/>
      <c r="CU30" s="175"/>
      <c r="CV30" s="175"/>
      <c r="CW30" s="175"/>
      <c r="CX30" s="159"/>
      <c r="CY30" s="159"/>
      <c r="CZ30" s="159"/>
      <c r="DA30" s="159"/>
      <c r="DB30" s="159"/>
      <c r="DC30" s="159"/>
      <c r="DD30" s="159"/>
      <c r="DE30" s="159"/>
      <c r="DF30" s="159"/>
      <c r="DG30" s="159"/>
      <c r="DH30" s="159"/>
      <c r="DI30" s="159"/>
      <c r="DJ30" s="159"/>
      <c r="DK30" s="159"/>
      <c r="DL30" s="159"/>
      <c r="DM30" s="159"/>
      <c r="DN30" s="159"/>
      <c r="DO30" s="159"/>
      <c r="DP30" s="159"/>
      <c r="DQ30" s="159"/>
      <c r="DR30" s="159"/>
      <c r="DS30" s="159"/>
      <c r="DT30" s="159"/>
      <c r="DU30" s="159"/>
      <c r="DV30" s="159"/>
      <c r="DW30" s="159"/>
      <c r="DX30" s="159"/>
      <c r="DY30" s="159"/>
      <c r="DZ30" s="159"/>
      <c r="EA30" s="159"/>
      <c r="EB30" s="159"/>
      <c r="EC30" s="159"/>
      <c r="ED30" s="159"/>
      <c r="EE30" s="159"/>
      <c r="EF30" s="159"/>
      <c r="EG30" s="159"/>
      <c r="EH30" s="159"/>
      <c r="EI30" s="159"/>
      <c r="EJ30" s="159"/>
      <c r="EK30" s="159"/>
      <c r="EL30" s="159"/>
      <c r="EM30" s="159"/>
      <c r="EN30" s="159"/>
      <c r="EO30" s="159"/>
      <c r="EP30" s="159"/>
      <c r="EQ30" s="159"/>
      <c r="ER30" s="159"/>
      <c r="ES30" s="159"/>
      <c r="ET30" s="159"/>
      <c r="EU30" s="159"/>
      <c r="EV30" s="159"/>
      <c r="EW30" s="159"/>
      <c r="EX30" s="159"/>
      <c r="EY30" s="159"/>
      <c r="EZ30" s="159"/>
      <c r="FA30" s="159"/>
      <c r="FB30" s="159"/>
      <c r="FC30" s="159"/>
      <c r="FD30" s="159"/>
      <c r="FE30" s="159"/>
      <c r="FF30" s="159"/>
      <c r="FG30" s="159"/>
      <c r="FH30" s="159"/>
      <c r="FI30" s="159"/>
      <c r="FJ30" s="159"/>
      <c r="FK30" s="159"/>
      <c r="FL30" s="159"/>
      <c r="FM30" s="159"/>
      <c r="FN30" s="159"/>
      <c r="FO30" s="159"/>
      <c r="FP30" s="159"/>
    </row>
    <row r="31" spans="1:172" s="113" customFormat="1" ht="12.75" customHeight="1" x14ac:dyDescent="0.2">
      <c r="A31" s="195">
        <f>Data!B5</f>
        <v>0</v>
      </c>
      <c r="B31" s="53">
        <f>Data!E5</f>
        <v>0</v>
      </c>
      <c r="C31" s="54" t="str">
        <f>IF(A31&gt;0,(B31-A31)/A31*100," ")</f>
        <v xml:space="preserve"> </v>
      </c>
      <c r="D31" s="56"/>
      <c r="E31" s="59"/>
      <c r="F31" s="59"/>
      <c r="G31" s="198"/>
      <c r="H31" s="199"/>
      <c r="I31" s="111"/>
      <c r="J31" s="114"/>
      <c r="K31" s="173"/>
      <c r="L31" s="173"/>
      <c r="M31" s="161"/>
      <c r="N31" s="161"/>
      <c r="O31" s="161"/>
      <c r="P31" s="161"/>
      <c r="Q31" s="161"/>
      <c r="R31" s="161"/>
      <c r="S31" s="161"/>
      <c r="T31" s="161"/>
      <c r="U31" s="161"/>
      <c r="V31" s="161"/>
      <c r="W31" s="174"/>
      <c r="X31" s="174"/>
      <c r="Y31" s="174"/>
      <c r="Z31" s="174"/>
      <c r="AA31" s="174"/>
      <c r="AB31" s="174"/>
      <c r="AC31" s="174"/>
      <c r="AD31" s="174"/>
      <c r="AE31" s="174"/>
      <c r="AF31" s="174"/>
      <c r="AG31" s="174"/>
      <c r="AH31" s="174"/>
      <c r="AI31" s="175"/>
      <c r="AJ31" s="175"/>
      <c r="AK31" s="175"/>
      <c r="AL31" s="175"/>
      <c r="AM31" s="175"/>
      <c r="AN31" s="175"/>
      <c r="AO31" s="175"/>
      <c r="AP31" s="175"/>
      <c r="AQ31" s="175"/>
      <c r="AR31" s="175"/>
      <c r="AS31" s="175"/>
      <c r="AT31" s="175"/>
      <c r="AU31" s="175"/>
      <c r="AV31" s="175"/>
      <c r="AW31" s="175"/>
      <c r="AX31" s="175"/>
      <c r="AY31" s="175"/>
      <c r="AZ31" s="175"/>
      <c r="BA31" s="175"/>
      <c r="BB31" s="175"/>
      <c r="BC31" s="175"/>
      <c r="BD31" s="175"/>
      <c r="BE31" s="175"/>
      <c r="BF31" s="175"/>
      <c r="BG31" s="175"/>
      <c r="BH31" s="175"/>
      <c r="BI31" s="175"/>
      <c r="BJ31" s="175"/>
      <c r="BK31" s="175"/>
      <c r="BL31" s="175"/>
      <c r="BM31" s="175"/>
      <c r="BN31" s="175"/>
      <c r="BO31" s="175"/>
      <c r="BP31" s="175"/>
      <c r="BQ31" s="175"/>
      <c r="BR31" s="175"/>
      <c r="BS31" s="175"/>
      <c r="BT31" s="175"/>
      <c r="BU31" s="175"/>
      <c r="BV31" s="175"/>
      <c r="BW31" s="175"/>
      <c r="BX31" s="175"/>
      <c r="BY31" s="175"/>
      <c r="BZ31" s="175"/>
      <c r="CA31" s="175"/>
      <c r="CB31" s="175"/>
      <c r="CC31" s="175"/>
      <c r="CD31" s="175"/>
      <c r="CE31" s="175"/>
      <c r="CF31" s="175"/>
      <c r="CG31" s="175"/>
      <c r="CH31" s="175"/>
      <c r="CI31" s="175"/>
      <c r="CJ31" s="175"/>
      <c r="CK31" s="175"/>
      <c r="CL31" s="175"/>
      <c r="CM31" s="175"/>
      <c r="CN31" s="175"/>
      <c r="CO31" s="175"/>
      <c r="CP31" s="175"/>
      <c r="CQ31" s="175"/>
      <c r="CR31" s="175"/>
      <c r="CS31" s="175"/>
      <c r="CT31" s="175"/>
      <c r="CU31" s="175"/>
      <c r="CV31" s="175"/>
      <c r="CW31" s="175"/>
      <c r="CX31" s="159"/>
      <c r="CY31" s="159"/>
      <c r="CZ31" s="159"/>
      <c r="DA31" s="159"/>
      <c r="DB31" s="159"/>
      <c r="DC31" s="159"/>
      <c r="DD31" s="159"/>
      <c r="DE31" s="159"/>
      <c r="DF31" s="159"/>
      <c r="DG31" s="159"/>
      <c r="DH31" s="159"/>
      <c r="DI31" s="159"/>
      <c r="DJ31" s="159"/>
      <c r="DK31" s="159"/>
      <c r="DL31" s="159"/>
      <c r="DM31" s="159"/>
      <c r="DN31" s="159"/>
      <c r="DO31" s="159"/>
      <c r="DP31" s="159"/>
      <c r="DQ31" s="159"/>
      <c r="DR31" s="159"/>
      <c r="DS31" s="159"/>
      <c r="DT31" s="159"/>
      <c r="DU31" s="159"/>
      <c r="DV31" s="159"/>
      <c r="DW31" s="159"/>
      <c r="DX31" s="159"/>
      <c r="DY31" s="159"/>
      <c r="DZ31" s="159"/>
      <c r="EA31" s="159"/>
      <c r="EB31" s="159"/>
      <c r="EC31" s="159"/>
      <c r="ED31" s="159"/>
      <c r="EE31" s="159"/>
      <c r="EF31" s="159"/>
      <c r="EG31" s="159"/>
      <c r="EH31" s="159"/>
      <c r="EI31" s="159"/>
      <c r="EJ31" s="159"/>
      <c r="EK31" s="159"/>
      <c r="EL31" s="159"/>
      <c r="EM31" s="159"/>
      <c r="EN31" s="159"/>
      <c r="EO31" s="159"/>
      <c r="EP31" s="159"/>
      <c r="EQ31" s="159"/>
      <c r="ER31" s="159"/>
      <c r="ES31" s="159"/>
      <c r="ET31" s="159"/>
      <c r="EU31" s="159"/>
      <c r="EV31" s="159"/>
      <c r="EW31" s="159"/>
      <c r="EX31" s="159"/>
      <c r="EY31" s="159"/>
      <c r="EZ31" s="159"/>
      <c r="FA31" s="159"/>
      <c r="FB31" s="159"/>
      <c r="FC31" s="159"/>
      <c r="FD31" s="159"/>
      <c r="FE31" s="159"/>
      <c r="FF31" s="159"/>
      <c r="FG31" s="159"/>
      <c r="FH31" s="159"/>
      <c r="FI31" s="159"/>
      <c r="FJ31" s="159"/>
      <c r="FK31" s="159"/>
      <c r="FL31" s="159"/>
      <c r="FM31" s="159"/>
      <c r="FN31" s="159"/>
      <c r="FO31" s="159"/>
      <c r="FP31" s="159"/>
    </row>
    <row r="32" spans="1:172" ht="12.75" customHeight="1" x14ac:dyDescent="0.2">
      <c r="A32" s="195">
        <f>Data!B6</f>
        <v>0</v>
      </c>
      <c r="B32" s="53">
        <f>Data!E6</f>
        <v>0</v>
      </c>
      <c r="C32" s="54" t="str">
        <f>IF(A32&gt;0,(B32-A32)/A32*100," ")</f>
        <v xml:space="preserve"> </v>
      </c>
      <c r="D32" s="56"/>
      <c r="E32" s="115"/>
      <c r="F32" s="1"/>
      <c r="G32" s="61"/>
      <c r="H32" s="197"/>
      <c r="J32" s="105"/>
      <c r="K32" s="170"/>
      <c r="L32" s="170"/>
      <c r="W32" s="160"/>
      <c r="X32" s="160"/>
      <c r="Y32" s="160"/>
      <c r="Z32" s="160"/>
      <c r="AA32" s="160"/>
      <c r="AB32" s="160"/>
      <c r="AC32" s="160"/>
      <c r="AD32" s="160"/>
      <c r="AE32" s="160"/>
      <c r="AF32" s="160"/>
      <c r="AG32" s="160"/>
      <c r="AH32" s="160"/>
    </row>
    <row r="33" spans="1:34" ht="12.75" customHeight="1" thickBot="1" x14ac:dyDescent="0.25">
      <c r="A33" s="200">
        <f>Data!B7</f>
        <v>0</v>
      </c>
      <c r="B33" s="201">
        <f>Data!E7</f>
        <v>0</v>
      </c>
      <c r="C33" s="202" t="str">
        <f>IF(A33&gt;0,(B33-A33)/A33*100," ")</f>
        <v xml:space="preserve"> </v>
      </c>
      <c r="D33" s="203"/>
      <c r="E33" s="204"/>
      <c r="F33" s="204"/>
      <c r="G33" s="204"/>
      <c r="H33" s="205"/>
      <c r="I33" s="7"/>
      <c r="J33" s="108"/>
      <c r="K33" s="170"/>
      <c r="L33" s="170"/>
      <c r="W33" s="160"/>
      <c r="X33" s="160"/>
      <c r="Y33" s="160"/>
      <c r="Z33" s="160"/>
      <c r="AA33" s="160"/>
      <c r="AB33" s="160"/>
      <c r="AC33" s="160"/>
      <c r="AD33" s="160"/>
      <c r="AE33" s="160"/>
      <c r="AF33" s="160"/>
      <c r="AG33" s="160"/>
      <c r="AH33" s="160"/>
    </row>
    <row r="34" spans="1:34" ht="12.75" customHeight="1" thickBot="1" x14ac:dyDescent="0.25">
      <c r="I34" s="1"/>
      <c r="J34" s="105"/>
      <c r="K34" s="162"/>
      <c r="L34" s="162"/>
      <c r="W34" s="160"/>
      <c r="X34" s="160"/>
      <c r="Y34" s="160"/>
      <c r="Z34" s="160"/>
      <c r="AA34" s="160"/>
      <c r="AB34" s="160"/>
      <c r="AC34" s="160"/>
      <c r="AD34" s="160"/>
      <c r="AE34" s="160"/>
      <c r="AF34" s="160"/>
      <c r="AG34" s="160"/>
      <c r="AH34" s="160"/>
    </row>
    <row r="35" spans="1:34" ht="12.75" customHeight="1" x14ac:dyDescent="0.2">
      <c r="A35" s="123" t="s">
        <v>83</v>
      </c>
      <c r="B35" s="124"/>
      <c r="C35" s="124"/>
      <c r="D35" s="124">
        <f>Data!H3</f>
        <v>0</v>
      </c>
      <c r="E35" s="124"/>
      <c r="F35" s="124"/>
      <c r="G35" s="126" t="s">
        <v>49</v>
      </c>
      <c r="H35" s="281">
        <v>5</v>
      </c>
      <c r="I35" s="1"/>
      <c r="J35" s="105"/>
      <c r="K35" s="162"/>
      <c r="L35" s="162"/>
      <c r="M35" s="312"/>
      <c r="N35" s="312"/>
      <c r="O35" s="312"/>
      <c r="P35" s="162"/>
      <c r="Q35" s="162"/>
      <c r="R35" s="162"/>
      <c r="S35" s="160"/>
      <c r="T35" s="160"/>
      <c r="U35" s="160"/>
      <c r="V35" s="160"/>
      <c r="W35" s="160"/>
      <c r="X35" s="160"/>
      <c r="Y35" s="160"/>
      <c r="Z35" s="160"/>
      <c r="AA35" s="160"/>
      <c r="AB35" s="160"/>
      <c r="AC35" s="160"/>
      <c r="AD35" s="160"/>
      <c r="AE35" s="160"/>
      <c r="AF35" s="160"/>
      <c r="AG35" s="160"/>
      <c r="AH35" s="160"/>
    </row>
    <row r="36" spans="1:34" ht="12.75" customHeight="1" x14ac:dyDescent="0.2">
      <c r="A36" s="134" t="s">
        <v>14</v>
      </c>
      <c r="B36" s="52"/>
      <c r="C36" s="5"/>
      <c r="D36" s="5"/>
      <c r="E36" s="1"/>
      <c r="F36" s="1"/>
      <c r="G36" s="5"/>
      <c r="H36" s="135"/>
      <c r="I36" s="6"/>
      <c r="J36" s="105"/>
      <c r="K36" s="162"/>
      <c r="L36" s="162"/>
      <c r="M36" s="313"/>
      <c r="N36" s="313"/>
      <c r="O36" s="313"/>
      <c r="P36" s="176"/>
      <c r="Q36" s="176"/>
      <c r="R36" s="176"/>
      <c r="S36" s="160"/>
      <c r="T36" s="160"/>
      <c r="U36" s="160"/>
      <c r="V36" s="160"/>
      <c r="W36" s="160"/>
      <c r="X36" s="160"/>
      <c r="Y36" s="160"/>
      <c r="Z36" s="160"/>
      <c r="AA36" s="160"/>
      <c r="AB36" s="160"/>
      <c r="AC36" s="160"/>
      <c r="AD36" s="160"/>
      <c r="AE36" s="160"/>
      <c r="AF36" s="160"/>
      <c r="AG36" s="160"/>
      <c r="AH36" s="160"/>
    </row>
    <row r="37" spans="1:34" ht="12.75" customHeight="1" x14ac:dyDescent="0.2">
      <c r="A37" s="189">
        <f>Data!G3</f>
        <v>0</v>
      </c>
      <c r="B37" s="55"/>
      <c r="C37" s="62" t="s">
        <v>16</v>
      </c>
      <c r="D37" s="63" t="str">
        <f>IF(A41&gt;0,AVERAGE(A37:A41)," ")</f>
        <v xml:space="preserve"> </v>
      </c>
      <c r="E37" s="1"/>
      <c r="F37" s="1"/>
      <c r="G37" s="60" t="str">
        <f>IF(D38&lt;H35,"PASS","FAIL")</f>
        <v>FAIL</v>
      </c>
      <c r="H37" s="190" t="str">
        <f>IF(C41&gt;0,AVERAGE(C37:C41)," ")</f>
        <v xml:space="preserve"> </v>
      </c>
      <c r="I37" s="6"/>
      <c r="J37" s="105"/>
      <c r="K37" s="162"/>
      <c r="L37" s="170"/>
      <c r="M37" s="162"/>
      <c r="N37" s="162"/>
      <c r="O37" s="162"/>
      <c r="P37" s="170"/>
      <c r="Q37" s="177"/>
      <c r="R37" s="170"/>
      <c r="S37" s="160"/>
      <c r="T37" s="160"/>
      <c r="U37" s="160"/>
      <c r="V37" s="160"/>
      <c r="W37" s="160"/>
      <c r="X37" s="160"/>
      <c r="Y37" s="160"/>
      <c r="Z37" s="160"/>
      <c r="AA37" s="160"/>
      <c r="AB37" s="160"/>
      <c r="AC37" s="160"/>
      <c r="AD37" s="160"/>
      <c r="AE37" s="160"/>
      <c r="AF37" s="160"/>
      <c r="AG37" s="160"/>
      <c r="AH37" s="160"/>
    </row>
    <row r="38" spans="1:34" ht="12.75" customHeight="1" x14ac:dyDescent="0.4">
      <c r="A38" s="189">
        <f>Data!G4</f>
        <v>0</v>
      </c>
      <c r="B38" s="52"/>
      <c r="C38" s="62" t="s">
        <v>44</v>
      </c>
      <c r="D38" s="63" t="str">
        <f>IF(A41&gt;0,STDEV(A37:A41)/D37*100," ")</f>
        <v xml:space="preserve"> </v>
      </c>
      <c r="E38" s="1"/>
      <c r="F38" s="1"/>
      <c r="G38" s="1"/>
      <c r="H38" s="135"/>
      <c r="I38" s="41"/>
      <c r="J38" s="105"/>
      <c r="K38" s="162"/>
      <c r="L38" s="170"/>
      <c r="M38" s="162"/>
      <c r="N38" s="178"/>
      <c r="O38" s="179"/>
      <c r="P38" s="179"/>
      <c r="Q38" s="179"/>
      <c r="R38" s="180"/>
      <c r="S38" s="160"/>
      <c r="T38" s="160"/>
      <c r="U38" s="160"/>
      <c r="V38" s="160"/>
      <c r="W38" s="160"/>
      <c r="X38" s="160"/>
      <c r="Y38" s="160"/>
      <c r="Z38" s="160"/>
      <c r="AA38" s="160"/>
      <c r="AB38" s="160"/>
      <c r="AC38" s="160"/>
      <c r="AD38" s="160"/>
      <c r="AE38" s="160"/>
      <c r="AF38" s="160"/>
      <c r="AG38" s="160"/>
      <c r="AH38" s="160"/>
    </row>
    <row r="39" spans="1:34" ht="12.75" customHeight="1" x14ac:dyDescent="0.2">
      <c r="A39" s="189">
        <f>Data!G5</f>
        <v>0</v>
      </c>
      <c r="B39" s="191"/>
      <c r="C39" s="1"/>
      <c r="D39" s="1"/>
      <c r="E39" s="1"/>
      <c r="F39" s="1"/>
      <c r="G39" s="64"/>
      <c r="H39" s="192" t="str">
        <f>IF(C41&gt;0,STDEV(C37:C41)/H37*100," ")</f>
        <v xml:space="preserve"> </v>
      </c>
      <c r="I39" s="6"/>
      <c r="J39" s="105"/>
      <c r="K39" s="162"/>
      <c r="L39" s="162"/>
      <c r="M39" s="162"/>
      <c r="N39" s="162"/>
      <c r="O39" s="170"/>
      <c r="P39" s="170"/>
      <c r="Q39" s="170"/>
      <c r="R39" s="170"/>
      <c r="S39" s="160"/>
      <c r="T39" s="160"/>
      <c r="U39" s="160"/>
      <c r="V39" s="160"/>
      <c r="W39" s="160"/>
      <c r="X39" s="160"/>
      <c r="Y39" s="160"/>
      <c r="Z39" s="160"/>
      <c r="AA39" s="160"/>
      <c r="AB39" s="160"/>
      <c r="AC39" s="160"/>
      <c r="AD39" s="160"/>
      <c r="AE39" s="160"/>
      <c r="AF39" s="160"/>
      <c r="AG39" s="160"/>
      <c r="AH39" s="160"/>
    </row>
    <row r="40" spans="1:34" ht="12.75" customHeight="1" x14ac:dyDescent="0.2">
      <c r="A40" s="189">
        <f>Data!G6</f>
        <v>0</v>
      </c>
      <c r="B40" s="52"/>
      <c r="C40" s="115"/>
      <c r="D40" s="1"/>
      <c r="E40" s="1"/>
      <c r="F40" s="1"/>
      <c r="G40" s="5"/>
      <c r="H40" s="135"/>
      <c r="I40" s="2"/>
      <c r="J40" s="105"/>
      <c r="K40" s="162"/>
      <c r="L40" s="162"/>
      <c r="M40" s="162"/>
      <c r="N40" s="162"/>
      <c r="O40" s="162"/>
      <c r="P40" s="179"/>
      <c r="Q40" s="170"/>
      <c r="R40" s="170"/>
      <c r="S40" s="160"/>
      <c r="T40" s="160"/>
      <c r="U40" s="160"/>
      <c r="V40" s="160"/>
      <c r="W40" s="160"/>
      <c r="X40" s="160"/>
      <c r="Y40" s="160"/>
      <c r="Z40" s="160"/>
      <c r="AA40" s="160"/>
      <c r="AB40" s="160"/>
      <c r="AC40" s="160"/>
      <c r="AD40" s="160"/>
      <c r="AE40" s="160"/>
      <c r="AF40" s="160"/>
      <c r="AG40" s="160"/>
      <c r="AH40" s="160"/>
    </row>
    <row r="41" spans="1:34" ht="12.75" customHeight="1" thickBot="1" x14ac:dyDescent="0.25">
      <c r="A41" s="193">
        <f>Data!G7</f>
        <v>0</v>
      </c>
      <c r="B41" s="194"/>
      <c r="C41" s="140"/>
      <c r="D41" s="140"/>
      <c r="E41" s="140"/>
      <c r="F41" s="140"/>
      <c r="G41" s="140"/>
      <c r="H41" s="141"/>
      <c r="I41" s="2"/>
      <c r="J41" s="106"/>
      <c r="K41" s="162"/>
      <c r="L41" s="162"/>
      <c r="M41" s="162"/>
      <c r="N41" s="162"/>
      <c r="O41" s="162"/>
      <c r="P41" s="162"/>
      <c r="Q41" s="181"/>
      <c r="R41" s="182"/>
      <c r="S41" s="160"/>
      <c r="T41" s="160"/>
      <c r="U41" s="160"/>
      <c r="V41" s="160"/>
      <c r="W41" s="160"/>
      <c r="X41" s="160"/>
      <c r="Y41" s="160"/>
      <c r="Z41" s="160"/>
      <c r="AA41" s="160"/>
      <c r="AB41" s="160"/>
      <c r="AC41" s="160"/>
      <c r="AD41" s="160"/>
      <c r="AE41" s="160"/>
      <c r="AF41" s="160"/>
      <c r="AG41" s="160"/>
      <c r="AH41" s="160"/>
    </row>
    <row r="42" spans="1:34" ht="12.75" customHeight="1" thickBot="1" x14ac:dyDescent="0.25">
      <c r="J42" s="104"/>
      <c r="K42" s="160"/>
      <c r="L42" s="160"/>
      <c r="M42" s="160"/>
      <c r="N42" s="160"/>
      <c r="O42" s="160"/>
      <c r="P42" s="162"/>
      <c r="Q42" s="160"/>
      <c r="R42" s="160"/>
      <c r="S42" s="160"/>
      <c r="T42" s="160"/>
      <c r="U42" s="160"/>
      <c r="V42" s="160"/>
      <c r="W42" s="160"/>
      <c r="X42" s="160"/>
      <c r="Y42" s="160"/>
      <c r="Z42" s="160"/>
      <c r="AA42" s="160"/>
      <c r="AB42" s="160"/>
      <c r="AC42" s="160"/>
      <c r="AD42" s="160"/>
      <c r="AE42" s="160"/>
      <c r="AF42" s="160"/>
      <c r="AG42" s="160"/>
      <c r="AH42" s="160"/>
    </row>
    <row r="43" spans="1:34" ht="12.75" customHeight="1" x14ac:dyDescent="0.2">
      <c r="A43" s="123" t="s">
        <v>45</v>
      </c>
      <c r="B43" s="124"/>
      <c r="C43" s="126" t="s">
        <v>51</v>
      </c>
      <c r="D43" s="282">
        <v>5</v>
      </c>
      <c r="F43" s="123" t="s">
        <v>17</v>
      </c>
      <c r="G43" s="124"/>
      <c r="H43" s="126" t="s">
        <v>51</v>
      </c>
      <c r="I43" s="282">
        <v>5</v>
      </c>
      <c r="J43" s="104"/>
      <c r="K43" s="162"/>
      <c r="L43" s="160"/>
      <c r="M43" s="160"/>
      <c r="N43" s="160"/>
      <c r="O43" s="160"/>
      <c r="P43" s="162"/>
      <c r="Q43" s="182"/>
      <c r="R43" s="160"/>
      <c r="S43" s="160"/>
      <c r="T43" s="160"/>
      <c r="U43" s="160"/>
      <c r="V43" s="160"/>
      <c r="W43" s="160"/>
      <c r="X43" s="160"/>
      <c r="Y43" s="160"/>
      <c r="Z43" s="160"/>
      <c r="AA43" s="160"/>
      <c r="AB43" s="160"/>
      <c r="AC43" s="160"/>
      <c r="AD43" s="160"/>
      <c r="AE43" s="160"/>
      <c r="AF43" s="160"/>
      <c r="AG43" s="160"/>
      <c r="AH43" s="160"/>
    </row>
    <row r="44" spans="1:34" ht="12.75" customHeight="1" x14ac:dyDescent="0.2">
      <c r="A44" s="127" t="s">
        <v>13</v>
      </c>
      <c r="B44" s="68" t="s">
        <v>14</v>
      </c>
      <c r="C44" s="68" t="s">
        <v>46</v>
      </c>
      <c r="D44" s="128" t="s">
        <v>39</v>
      </c>
      <c r="F44" s="212" t="s">
        <v>75</v>
      </c>
      <c r="G44" s="261" t="s">
        <v>76</v>
      </c>
      <c r="H44" s="65" t="s">
        <v>46</v>
      </c>
      <c r="I44" s="116" t="s">
        <v>39</v>
      </c>
      <c r="J44" s="104"/>
      <c r="K44" s="162"/>
      <c r="L44" s="160"/>
      <c r="M44" s="160"/>
      <c r="N44" s="160"/>
      <c r="O44" s="160"/>
      <c r="P44" s="162"/>
      <c r="Q44" s="183"/>
      <c r="R44" s="183"/>
      <c r="S44" s="160"/>
      <c r="T44" s="160"/>
      <c r="U44" s="160"/>
      <c r="V44" s="160"/>
      <c r="W44" s="160"/>
      <c r="X44" s="160"/>
      <c r="Y44" s="160"/>
      <c r="Z44" s="160"/>
      <c r="AA44" s="160"/>
      <c r="AB44" s="160"/>
      <c r="AC44" s="160"/>
      <c r="AD44" s="160"/>
      <c r="AE44" s="160"/>
      <c r="AF44" s="160"/>
      <c r="AG44" s="160"/>
      <c r="AH44" s="160"/>
    </row>
    <row r="45" spans="1:34" ht="12.75" customHeight="1" x14ac:dyDescent="0.2">
      <c r="A45" s="129" t="str">
        <f>IF(Data!B3&gt;0,Data!B3,"")</f>
        <v/>
      </c>
      <c r="B45" s="69">
        <f>IF(Data!E3&gt;0,Data!E3,0)</f>
        <v>0</v>
      </c>
      <c r="C45" s="70" t="str">
        <f t="shared" ref="C45:C51" si="1">IF(B45&gt;0,(B45-A45)/B45*100,"")</f>
        <v/>
      </c>
      <c r="D45" s="118" t="str">
        <f t="shared" ref="D45:D51" si="2">IF(B45&gt;0,IF(ABS(C45)&lt;$D$43,"PASS","FAIL"),"")</f>
        <v/>
      </c>
      <c r="F45" s="117" t="str">
        <f>IF(Data!D3&gt;0,Data!D3/1000,"")</f>
        <v/>
      </c>
      <c r="G45" s="67">
        <f>IF(Data!K3&gt;0,Data!K3,0)</f>
        <v>0</v>
      </c>
      <c r="H45" s="66" t="str">
        <f>IF(G45&gt;0,ABS(F45-G45)/F45*100,"")</f>
        <v/>
      </c>
      <c r="I45" s="118" t="str">
        <f>IF(G45&gt;0,IF(ABS(H45)&lt;$I$43,"PASS","FAIL"),"")</f>
        <v/>
      </c>
      <c r="J45" s="104"/>
      <c r="K45" s="162"/>
      <c r="L45" s="160"/>
      <c r="M45" s="160"/>
      <c r="N45" s="160"/>
      <c r="O45" s="160"/>
      <c r="P45" s="162"/>
      <c r="Q45" s="183"/>
      <c r="R45" s="183"/>
      <c r="S45" s="160"/>
      <c r="T45" s="160"/>
      <c r="U45" s="160"/>
      <c r="V45" s="160"/>
      <c r="W45" s="160"/>
      <c r="X45" s="160"/>
      <c r="Y45" s="160"/>
      <c r="Z45" s="160"/>
      <c r="AA45" s="160"/>
      <c r="AB45" s="160"/>
      <c r="AC45" s="160"/>
      <c r="AD45" s="160"/>
      <c r="AE45" s="160"/>
      <c r="AF45" s="160"/>
      <c r="AG45" s="160"/>
      <c r="AH45" s="160"/>
    </row>
    <row r="46" spans="1:34" ht="12.75" customHeight="1" x14ac:dyDescent="0.2">
      <c r="A46" s="129" t="str">
        <f>IF(Data!B4&gt;0,Data!B4,"")</f>
        <v/>
      </c>
      <c r="B46" s="69">
        <f>IF(Data!E4&gt;0,Data!E4,0)</f>
        <v>0</v>
      </c>
      <c r="C46" s="70" t="str">
        <f t="shared" si="1"/>
        <v/>
      </c>
      <c r="D46" s="118" t="str">
        <f t="shared" si="2"/>
        <v/>
      </c>
      <c r="E46" s="5"/>
      <c r="F46" s="117" t="str">
        <f>IF(Data!D4&gt;0,Data!D4/1000,"")</f>
        <v/>
      </c>
      <c r="G46" s="67">
        <f>IF(Data!K4&gt;0,Data!K4,0)</f>
        <v>0</v>
      </c>
      <c r="H46" s="66" t="str">
        <f>IF(G46&gt;0,ABS(F46-G46)/F46*100,"")</f>
        <v/>
      </c>
      <c r="I46" s="118" t="str">
        <f>IF(G46&gt;0,IF(ABS(H46)&lt;$I$43,"PASS","FAIL"),"")</f>
        <v/>
      </c>
      <c r="J46" s="104"/>
      <c r="K46" s="162"/>
      <c r="L46" s="160"/>
      <c r="M46" s="160"/>
      <c r="N46" s="160"/>
      <c r="O46" s="160"/>
      <c r="P46" s="162"/>
      <c r="Q46" s="160"/>
      <c r="R46" s="160"/>
      <c r="S46" s="160"/>
      <c r="T46" s="160"/>
      <c r="U46" s="160"/>
      <c r="V46" s="160"/>
      <c r="W46" s="160"/>
      <c r="X46" s="160"/>
      <c r="Y46" s="160"/>
      <c r="Z46" s="160"/>
      <c r="AA46" s="160"/>
      <c r="AB46" s="160"/>
      <c r="AC46" s="160"/>
      <c r="AD46" s="160"/>
      <c r="AE46" s="160"/>
      <c r="AF46" s="160"/>
      <c r="AG46" s="160"/>
      <c r="AH46" s="160"/>
    </row>
    <row r="47" spans="1:34" ht="12.75" customHeight="1" x14ac:dyDescent="0.2">
      <c r="A47" s="129" t="str">
        <f>IF(Data!B5&gt;0,Data!B5,"")</f>
        <v/>
      </c>
      <c r="B47" s="69">
        <f>IF(Data!E5&gt;0,Data!E5,0)</f>
        <v>0</v>
      </c>
      <c r="C47" s="70" t="str">
        <f t="shared" si="1"/>
        <v/>
      </c>
      <c r="D47" s="118" t="str">
        <f t="shared" si="2"/>
        <v/>
      </c>
      <c r="E47" s="63"/>
      <c r="F47" s="117" t="str">
        <f>IF(Data!D5&gt;0,Data!D5/1000,"")</f>
        <v/>
      </c>
      <c r="G47" s="67">
        <f>IF(Data!K5&gt;0,Data!K5,0)</f>
        <v>0</v>
      </c>
      <c r="H47" s="66" t="str">
        <f>IF(G47&gt;0,ABS(F47-G47)/F47*100,"")</f>
        <v/>
      </c>
      <c r="I47" s="118" t="str">
        <f>IF(G47&gt;0,IF(ABS(H47)&lt;$I$43,"PASS","FAIL"),"")</f>
        <v/>
      </c>
      <c r="J47" s="104"/>
      <c r="K47" s="162"/>
      <c r="L47" s="160"/>
      <c r="M47" s="160"/>
      <c r="N47" s="160"/>
      <c r="O47" s="160"/>
      <c r="P47" s="170"/>
      <c r="Q47" s="160"/>
      <c r="R47" s="160"/>
      <c r="S47" s="160"/>
      <c r="T47" s="160"/>
      <c r="U47" s="160"/>
      <c r="V47" s="160"/>
      <c r="W47" s="160"/>
      <c r="X47" s="160"/>
      <c r="Y47" s="160"/>
      <c r="Z47" s="160"/>
      <c r="AA47" s="160"/>
      <c r="AB47" s="160"/>
      <c r="AC47" s="160"/>
      <c r="AD47" s="160"/>
      <c r="AE47" s="160"/>
      <c r="AF47" s="160"/>
      <c r="AG47" s="160"/>
      <c r="AH47" s="160"/>
    </row>
    <row r="48" spans="1:34" ht="12.75" customHeight="1" x14ac:dyDescent="0.2">
      <c r="A48" s="129" t="str">
        <f>IF(Data!B6&gt;0,Data!B6,"")</f>
        <v/>
      </c>
      <c r="B48" s="69">
        <f>IF(Data!E6&gt;0,Data!E6,0)</f>
        <v>0</v>
      </c>
      <c r="C48" s="70" t="str">
        <f t="shared" si="1"/>
        <v/>
      </c>
      <c r="D48" s="118" t="str">
        <f t="shared" si="2"/>
        <v/>
      </c>
      <c r="E48" s="5"/>
      <c r="F48" s="117" t="str">
        <f>IF(Data!D6&gt;0,Data!D6/1000,"")</f>
        <v/>
      </c>
      <c r="G48" s="67">
        <f>IF(Data!K6&gt;0,Data!K6,0)</f>
        <v>0</v>
      </c>
      <c r="H48" s="66" t="str">
        <f>IF(G48&gt;0,ABS(F48-G48)/F48*100,"")</f>
        <v/>
      </c>
      <c r="I48" s="118" t="str">
        <f>IF(G48&gt;0,IF(ABS(H48)&lt;$I$43,"PASS","FAIL"),"")</f>
        <v/>
      </c>
      <c r="J48" s="104"/>
      <c r="K48" s="180"/>
      <c r="L48" s="160"/>
      <c r="M48" s="160"/>
      <c r="N48" s="160"/>
      <c r="O48" s="160"/>
      <c r="P48" s="184"/>
      <c r="Q48" s="160"/>
      <c r="R48" s="160"/>
      <c r="S48" s="160"/>
      <c r="T48" s="160"/>
      <c r="U48" s="160"/>
      <c r="V48" s="160"/>
      <c r="W48" s="160"/>
      <c r="X48" s="160"/>
      <c r="Y48" s="160"/>
      <c r="Z48" s="160"/>
      <c r="AA48" s="160"/>
      <c r="AB48" s="160"/>
      <c r="AC48" s="160"/>
      <c r="AD48" s="160"/>
      <c r="AE48" s="160"/>
      <c r="AF48" s="160"/>
      <c r="AG48" s="160"/>
      <c r="AH48" s="160"/>
    </row>
    <row r="49" spans="1:172" ht="12.75" customHeight="1" thickBot="1" x14ac:dyDescent="0.25">
      <c r="A49" s="129" t="str">
        <f>IF(Data!B7&gt;0,Data!B7,"")</f>
        <v/>
      </c>
      <c r="B49" s="69">
        <f>IF(Data!E7&gt;0,Data!E7,0)</f>
        <v>0</v>
      </c>
      <c r="C49" s="70" t="str">
        <f t="shared" si="1"/>
        <v/>
      </c>
      <c r="D49" s="118" t="str">
        <f t="shared" si="2"/>
        <v/>
      </c>
      <c r="E49" s="122"/>
      <c r="F49" s="119" t="str">
        <f>IF(Data!D7&gt;0,Data!D7/1000,"")</f>
        <v/>
      </c>
      <c r="G49" s="156">
        <f>IF(Data!K7&gt;0,Data!K7,0)</f>
        <v>0</v>
      </c>
      <c r="H49" s="120" t="str">
        <f>IF(G49&gt;0,ABS(F49-G49)/F49*100,"")</f>
        <v/>
      </c>
      <c r="I49" s="121" t="str">
        <f>IF(G49&gt;0,IF(ABS(H49)&lt;$I$43,"PASS","FAIL"),"")</f>
        <v/>
      </c>
      <c r="J49" s="104"/>
      <c r="K49" s="184"/>
      <c r="L49" s="160"/>
      <c r="M49" s="160"/>
      <c r="N49" s="160"/>
      <c r="O49" s="160"/>
      <c r="P49" s="162"/>
      <c r="Q49" s="160"/>
      <c r="R49" s="160"/>
      <c r="S49" s="160"/>
      <c r="T49" s="160"/>
      <c r="U49" s="160"/>
      <c r="V49" s="160"/>
      <c r="W49" s="160"/>
      <c r="X49" s="160"/>
      <c r="Y49" s="160"/>
      <c r="Z49" s="160"/>
      <c r="AA49" s="160"/>
      <c r="AB49" s="160"/>
      <c r="AC49" s="160"/>
      <c r="AD49" s="160"/>
      <c r="AE49" s="160"/>
      <c r="AF49" s="160"/>
      <c r="AG49" s="160"/>
      <c r="AH49" s="160"/>
    </row>
    <row r="50" spans="1:172" ht="12.75" customHeight="1" x14ac:dyDescent="0.2">
      <c r="A50" s="129" t="str">
        <f>IF(Data!B8&gt;0,Data!B8,"")</f>
        <v/>
      </c>
      <c r="B50" s="69">
        <f>IF(Data!E8&gt;0,Data!E8,0)</f>
        <v>0</v>
      </c>
      <c r="C50" s="70" t="str">
        <f t="shared" si="1"/>
        <v/>
      </c>
      <c r="D50" s="118" t="str">
        <f t="shared" si="2"/>
        <v/>
      </c>
      <c r="J50" s="104"/>
      <c r="K50" s="180"/>
      <c r="L50" s="160"/>
      <c r="M50" s="160"/>
      <c r="N50" s="160"/>
      <c r="O50" s="160"/>
      <c r="P50" s="181"/>
      <c r="Q50" s="160"/>
      <c r="R50" s="160"/>
      <c r="S50" s="160"/>
      <c r="T50" s="160"/>
      <c r="U50" s="160"/>
      <c r="V50" s="160"/>
      <c r="W50" s="160"/>
      <c r="X50" s="160"/>
      <c r="Y50" s="160"/>
      <c r="Z50" s="160"/>
      <c r="AA50" s="160"/>
      <c r="AB50" s="160"/>
      <c r="AC50" s="160"/>
      <c r="AD50" s="160"/>
      <c r="AE50" s="160"/>
      <c r="AF50" s="160"/>
      <c r="AG50" s="160"/>
      <c r="AH50" s="160"/>
    </row>
    <row r="51" spans="1:172" ht="12.75" customHeight="1" thickBot="1" x14ac:dyDescent="0.25">
      <c r="A51" s="130" t="str">
        <f>IF(Data!B9&gt;0,Data!B9,"")</f>
        <v/>
      </c>
      <c r="B51" s="131">
        <f>IF(Data!E9&gt;0,Data!E9,0)</f>
        <v>0</v>
      </c>
      <c r="C51" s="132" t="str">
        <f t="shared" si="1"/>
        <v/>
      </c>
      <c r="D51" s="121" t="str">
        <f t="shared" si="2"/>
        <v/>
      </c>
      <c r="E51" s="5"/>
      <c r="J51" s="104"/>
      <c r="K51" s="162"/>
      <c r="L51" s="160"/>
      <c r="M51" s="160"/>
      <c r="N51" s="160"/>
      <c r="O51" s="160"/>
      <c r="P51" s="185"/>
      <c r="Q51" s="160"/>
      <c r="R51" s="160"/>
      <c r="S51" s="160"/>
      <c r="T51" s="160"/>
      <c r="U51" s="160"/>
      <c r="V51" s="160"/>
      <c r="W51" s="160"/>
      <c r="X51" s="160"/>
      <c r="Y51" s="160"/>
      <c r="Z51" s="160"/>
      <c r="AA51" s="160"/>
      <c r="AB51" s="160"/>
      <c r="AC51" s="160"/>
      <c r="AD51" s="160"/>
      <c r="AE51" s="160"/>
      <c r="AF51" s="160"/>
      <c r="AG51" s="160"/>
      <c r="AH51" s="160"/>
    </row>
    <row r="52" spans="1:172" ht="12.75" customHeight="1" thickBot="1" x14ac:dyDescent="0.35">
      <c r="J52" s="42"/>
      <c r="K52" s="186"/>
      <c r="L52" s="160"/>
      <c r="M52" s="160"/>
      <c r="N52" s="187"/>
      <c r="O52" s="188"/>
      <c r="P52" s="183"/>
      <c r="Q52" s="170"/>
      <c r="R52" s="170"/>
      <c r="S52" s="160"/>
      <c r="T52" s="160"/>
      <c r="U52" s="160"/>
      <c r="V52" s="160"/>
      <c r="W52" s="160"/>
      <c r="X52" s="160"/>
      <c r="Y52" s="160"/>
      <c r="Z52" s="160"/>
      <c r="AA52" s="160"/>
      <c r="AB52" s="160"/>
      <c r="AC52" s="160"/>
      <c r="AD52" s="160"/>
      <c r="AE52" s="160"/>
      <c r="AF52" s="160"/>
      <c r="AG52" s="160"/>
      <c r="AH52" s="160"/>
    </row>
    <row r="53" spans="1:172" ht="12.75" customHeight="1" x14ac:dyDescent="0.2">
      <c r="A53" s="123" t="s">
        <v>52</v>
      </c>
      <c r="B53" s="124"/>
      <c r="C53" s="124"/>
      <c r="D53" s="125"/>
      <c r="F53" s="142"/>
      <c r="G53" s="143"/>
      <c r="H53" s="143"/>
      <c r="I53" s="144"/>
      <c r="L53" s="160"/>
      <c r="M53" s="160"/>
      <c r="N53" s="182"/>
      <c r="O53" s="160"/>
      <c r="P53" s="160"/>
      <c r="Q53" s="183"/>
      <c r="R53" s="183"/>
      <c r="S53" s="183"/>
      <c r="T53" s="183"/>
      <c r="U53" s="183"/>
      <c r="V53" s="160"/>
      <c r="W53" s="160"/>
      <c r="X53" s="160"/>
      <c r="Y53" s="160"/>
      <c r="Z53" s="160"/>
      <c r="AA53" s="160"/>
      <c r="AB53" s="160"/>
      <c r="AC53" s="160"/>
      <c r="AD53" s="160"/>
      <c r="AE53" s="160"/>
      <c r="AF53" s="160"/>
      <c r="AG53" s="160"/>
      <c r="AH53" s="160"/>
    </row>
    <row r="54" spans="1:172" ht="12.75" customHeight="1" x14ac:dyDescent="0.2">
      <c r="A54" s="134" t="s">
        <v>14</v>
      </c>
      <c r="B54" s="52"/>
      <c r="C54" s="5"/>
      <c r="D54" s="135"/>
      <c r="F54" s="354" t="str">
        <f>IF(Data!$U$7&gt;0,"Measured HVL = " &amp; FIXED(AVERAGE(Data!$U$3:$U$7),2,0)&amp; " mmAl"," ")</f>
        <v xml:space="preserve"> </v>
      </c>
      <c r="G54" s="355"/>
      <c r="H54" s="355"/>
      <c r="I54" s="356"/>
      <c r="L54" s="160"/>
      <c r="M54" s="160"/>
      <c r="N54" s="160"/>
      <c r="O54" s="160"/>
      <c r="P54" s="160"/>
      <c r="Q54" s="160"/>
      <c r="R54" s="160"/>
      <c r="S54" s="160"/>
      <c r="T54" s="160"/>
      <c r="U54" s="160"/>
      <c r="V54" s="160"/>
      <c r="W54" s="160"/>
      <c r="X54" s="160"/>
      <c r="Y54" s="160"/>
      <c r="Z54" s="160"/>
      <c r="AA54" s="160"/>
      <c r="AB54" s="160"/>
      <c r="AC54" s="160"/>
      <c r="AD54" s="160"/>
      <c r="AE54" s="160"/>
      <c r="AF54" s="160"/>
      <c r="AG54" s="160"/>
      <c r="AH54" s="160"/>
    </row>
    <row r="55" spans="1:172" ht="12.75" customHeight="1" x14ac:dyDescent="0.2">
      <c r="A55" s="133" t="str">
        <f>IF(Data!U3&gt;0,Data!U3,"")</f>
        <v/>
      </c>
      <c r="B55" s="62" t="s">
        <v>53</v>
      </c>
      <c r="C55" s="110" t="e">
        <f>AVERAGE(Data!$U$3:$U$7)</f>
        <v>#DIV/0!</v>
      </c>
      <c r="D55" s="136" t="e">
        <f>IF(C55&gt;=C59,"PASS","FAIL")</f>
        <v>#DIV/0!</v>
      </c>
      <c r="F55" s="145"/>
      <c r="G55" s="6"/>
      <c r="H55" s="6"/>
      <c r="I55" s="146"/>
      <c r="L55" s="160"/>
      <c r="M55" s="160"/>
      <c r="N55" s="160"/>
      <c r="O55" s="160"/>
      <c r="P55" s="160"/>
      <c r="Q55" s="160"/>
      <c r="R55" s="160"/>
      <c r="S55" s="160"/>
      <c r="T55" s="160"/>
      <c r="U55" s="160"/>
      <c r="V55" s="160"/>
      <c r="W55" s="160"/>
      <c r="X55" s="160"/>
      <c r="Y55" s="160"/>
      <c r="Z55" s="160"/>
      <c r="AA55" s="160"/>
      <c r="AB55" s="160"/>
      <c r="AC55" s="160"/>
      <c r="AD55" s="160"/>
      <c r="AE55" s="160"/>
      <c r="AF55" s="160"/>
      <c r="AG55" s="160"/>
      <c r="AH55" s="160"/>
    </row>
    <row r="56" spans="1:172" ht="12.75" customHeight="1" x14ac:dyDescent="0.2">
      <c r="A56" s="133" t="str">
        <f>IF(Data!U4&gt;0,Data!U4,"")</f>
        <v/>
      </c>
      <c r="B56" s="57" t="s">
        <v>44</v>
      </c>
      <c r="C56" s="63" t="e">
        <f>IF(A59&gt;0,STDEV(A55:A59)/C55*100," ")</f>
        <v>#DIV/0!</v>
      </c>
      <c r="D56" s="137"/>
      <c r="F56" s="147"/>
      <c r="G56" s="6"/>
      <c r="H56" s="6"/>
      <c r="I56" s="146"/>
      <c r="L56" s="160"/>
      <c r="M56" s="160"/>
      <c r="N56" s="160"/>
      <c r="O56" s="160"/>
      <c r="P56" s="160"/>
      <c r="Q56" s="160"/>
      <c r="R56" s="160"/>
      <c r="S56" s="160"/>
      <c r="T56" s="160"/>
      <c r="U56" s="160"/>
      <c r="V56" s="160"/>
      <c r="W56" s="160"/>
      <c r="X56" s="160"/>
      <c r="Y56" s="160"/>
      <c r="Z56" s="160"/>
      <c r="AA56" s="160"/>
      <c r="AB56" s="160"/>
      <c r="AC56" s="160"/>
      <c r="AD56" s="160"/>
      <c r="AE56" s="160"/>
      <c r="AF56" s="160"/>
      <c r="AG56" s="160"/>
      <c r="AH56" s="160"/>
    </row>
    <row r="57" spans="1:172" ht="12.75" customHeight="1" x14ac:dyDescent="0.2">
      <c r="A57" s="133" t="str">
        <f>IF(Data!U5&gt;0,Data!U5,"")</f>
        <v/>
      </c>
      <c r="B57" s="1"/>
      <c r="C57" s="1"/>
      <c r="D57" s="138"/>
      <c r="F57" s="147"/>
      <c r="G57" s="1"/>
      <c r="H57" s="6"/>
      <c r="I57" s="146"/>
      <c r="L57" s="160"/>
      <c r="M57" s="160"/>
      <c r="N57" s="160"/>
      <c r="O57" s="160"/>
      <c r="P57" s="160"/>
      <c r="Q57" s="160"/>
      <c r="R57" s="160"/>
      <c r="S57" s="160"/>
      <c r="T57" s="160"/>
      <c r="U57" s="160"/>
      <c r="V57" s="160"/>
      <c r="W57" s="160"/>
      <c r="X57" s="160"/>
      <c r="Y57" s="160"/>
      <c r="Z57" s="160"/>
      <c r="AA57" s="160"/>
      <c r="AB57" s="160"/>
      <c r="AC57" s="160"/>
      <c r="AD57" s="160"/>
      <c r="AE57" s="160"/>
      <c r="AF57" s="160"/>
      <c r="AG57" s="160"/>
      <c r="AH57" s="160"/>
    </row>
    <row r="58" spans="1:172" ht="12.75" customHeight="1" x14ac:dyDescent="0.2">
      <c r="A58" s="133" t="str">
        <f>IF(Data!U6&gt;0,Data!U6,"")</f>
        <v/>
      </c>
      <c r="B58" s="115" t="s">
        <v>54</v>
      </c>
      <c r="C58" s="153" t="str">
        <f>F29</f>
        <v xml:space="preserve"> </v>
      </c>
      <c r="D58" s="135"/>
      <c r="F58" s="147"/>
      <c r="G58" s="1"/>
      <c r="H58" s="6"/>
      <c r="I58" s="146"/>
      <c r="L58" s="160"/>
      <c r="M58" s="160"/>
      <c r="N58" s="160"/>
      <c r="O58" s="160"/>
      <c r="P58" s="160"/>
      <c r="Q58" s="160"/>
      <c r="R58" s="160"/>
      <c r="S58" s="160"/>
      <c r="T58" s="160"/>
      <c r="U58" s="160"/>
      <c r="V58" s="160"/>
      <c r="W58" s="160"/>
      <c r="X58" s="160"/>
      <c r="Y58" s="160"/>
      <c r="Z58" s="160"/>
      <c r="AA58" s="160"/>
      <c r="AB58" s="160"/>
      <c r="AC58" s="160"/>
      <c r="AD58" s="160"/>
      <c r="AE58" s="160"/>
      <c r="AF58" s="160"/>
      <c r="AG58" s="160"/>
      <c r="AH58" s="160"/>
    </row>
    <row r="59" spans="1:172" ht="12.75" customHeight="1" thickBot="1" x14ac:dyDescent="0.25">
      <c r="A59" s="139" t="str">
        <f>IF(Data!U7&gt;0,Data!U7,"")</f>
        <v/>
      </c>
      <c r="B59" s="152" t="s">
        <v>55</v>
      </c>
      <c r="C59" s="209" t="e">
        <f>IF(C58&gt;100,3.1+0.01*(10-(110-C58)),IF(C58&gt;90,2.9+0.02*(10-(100-C58)),IF(C58&gt;80,2.5+0.04*(10-(90-C58)),IF(C58&gt;70,2.3+0.02*(10-(80-C58)),IF(C58&gt;50,1.7+0.03*(20-(70-C58)),IF(C58&gt;=40,1.5+0.02*(10-(50-C58)),""))))))</f>
        <v>#VALUE!</v>
      </c>
      <c r="D59" s="141"/>
      <c r="F59" s="147"/>
      <c r="G59" s="1"/>
      <c r="H59" s="6"/>
      <c r="I59" s="146"/>
      <c r="L59" s="160"/>
      <c r="M59" s="160"/>
      <c r="N59" s="160"/>
      <c r="O59" s="160"/>
      <c r="P59" s="160"/>
      <c r="Q59" s="160"/>
      <c r="R59" s="160"/>
      <c r="S59" s="160"/>
      <c r="T59" s="160"/>
      <c r="U59" s="160"/>
      <c r="V59" s="160"/>
      <c r="W59" s="160"/>
      <c r="X59" s="160"/>
      <c r="Y59" s="160"/>
      <c r="Z59" s="160"/>
      <c r="AA59" s="160"/>
      <c r="AB59" s="160"/>
      <c r="AC59" s="160"/>
      <c r="AD59" s="160"/>
      <c r="AE59" s="160"/>
      <c r="AF59" s="160"/>
      <c r="AG59" s="160"/>
      <c r="AH59" s="160"/>
    </row>
    <row r="60" spans="1:172" s="104" customFormat="1" ht="12.75" customHeight="1" x14ac:dyDescent="0.2">
      <c r="F60" s="147"/>
      <c r="G60" s="1"/>
      <c r="H60" s="6"/>
      <c r="I60" s="146"/>
      <c r="K60" s="160"/>
      <c r="L60" s="160"/>
      <c r="M60" s="160"/>
      <c r="N60" s="160"/>
      <c r="O60" s="160"/>
      <c r="P60" s="160"/>
      <c r="Q60" s="160"/>
      <c r="R60" s="160"/>
      <c r="S60" s="160"/>
      <c r="T60" s="160"/>
      <c r="U60" s="160"/>
      <c r="V60" s="160"/>
      <c r="W60" s="160"/>
      <c r="X60" s="160"/>
      <c r="Y60" s="160"/>
      <c r="Z60" s="160"/>
      <c r="AA60" s="160"/>
      <c r="AB60" s="160"/>
      <c r="AC60" s="160"/>
      <c r="AD60" s="160"/>
      <c r="AE60" s="160"/>
      <c r="AF60" s="160"/>
      <c r="AG60" s="160"/>
      <c r="AH60" s="160"/>
      <c r="AI60" s="160"/>
      <c r="AJ60" s="160"/>
      <c r="AK60" s="160"/>
      <c r="AL60" s="160"/>
      <c r="AM60" s="160"/>
      <c r="AN60" s="160"/>
      <c r="AO60" s="160"/>
      <c r="AP60" s="160"/>
      <c r="AQ60" s="160"/>
      <c r="AR60" s="160"/>
      <c r="AS60" s="160"/>
      <c r="AT60" s="160"/>
      <c r="AU60" s="160"/>
      <c r="AV60" s="160"/>
      <c r="AW60" s="160"/>
      <c r="AX60" s="160"/>
      <c r="AY60" s="160"/>
      <c r="AZ60" s="160"/>
      <c r="BA60" s="160"/>
      <c r="BB60" s="160"/>
      <c r="BC60" s="160"/>
      <c r="BD60" s="160"/>
      <c r="BE60" s="160"/>
      <c r="BF60" s="160"/>
      <c r="BG60" s="160"/>
      <c r="BH60" s="160"/>
      <c r="BI60" s="160"/>
      <c r="BJ60" s="160"/>
      <c r="BK60" s="160"/>
      <c r="BL60" s="160"/>
      <c r="BM60" s="160"/>
      <c r="BN60" s="160"/>
      <c r="BO60" s="160"/>
      <c r="BP60" s="160"/>
      <c r="BQ60" s="160"/>
      <c r="BR60" s="160"/>
      <c r="BS60" s="160"/>
      <c r="BT60" s="160"/>
      <c r="BU60" s="160"/>
      <c r="BV60" s="160"/>
      <c r="BW60" s="160"/>
      <c r="BX60" s="160"/>
      <c r="BY60" s="160"/>
      <c r="BZ60" s="160"/>
      <c r="CA60" s="160"/>
      <c r="CB60" s="160"/>
      <c r="CC60" s="160"/>
      <c r="CD60" s="160"/>
      <c r="CE60" s="160"/>
      <c r="CF60" s="160"/>
      <c r="CG60" s="160"/>
      <c r="CH60" s="160"/>
      <c r="CI60" s="160"/>
      <c r="CJ60" s="160"/>
      <c r="CK60" s="160"/>
      <c r="CL60" s="160"/>
      <c r="CM60" s="160"/>
      <c r="CN60" s="160"/>
      <c r="CO60" s="160"/>
      <c r="CP60" s="160"/>
      <c r="CQ60" s="160"/>
      <c r="CR60" s="160"/>
      <c r="CS60" s="160"/>
      <c r="CT60" s="160"/>
      <c r="CU60" s="160"/>
      <c r="CV60" s="160"/>
      <c r="CW60" s="160"/>
      <c r="CX60" s="157"/>
      <c r="CY60" s="157"/>
      <c r="CZ60" s="157"/>
      <c r="DA60" s="157"/>
      <c r="DB60" s="157"/>
      <c r="DC60" s="157"/>
      <c r="DD60" s="157"/>
      <c r="DE60" s="157"/>
      <c r="DF60" s="157"/>
      <c r="DG60" s="157"/>
      <c r="DH60" s="157"/>
      <c r="DI60" s="157"/>
      <c r="DJ60" s="157"/>
      <c r="DK60" s="157"/>
      <c r="DL60" s="157"/>
      <c r="DM60" s="157"/>
      <c r="DN60" s="157"/>
      <c r="DO60" s="157"/>
      <c r="DP60" s="157"/>
      <c r="DQ60" s="157"/>
      <c r="DR60" s="157"/>
      <c r="DS60" s="157"/>
      <c r="DT60" s="157"/>
      <c r="DU60" s="157"/>
      <c r="DV60" s="157"/>
      <c r="DW60" s="157"/>
      <c r="DX60" s="157"/>
      <c r="DY60" s="157"/>
      <c r="DZ60" s="157"/>
      <c r="EA60" s="157"/>
      <c r="EB60" s="157"/>
      <c r="EC60" s="157"/>
      <c r="ED60" s="157"/>
      <c r="EE60" s="157"/>
      <c r="EF60" s="157"/>
      <c r="EG60" s="157"/>
      <c r="EH60" s="157"/>
      <c r="EI60" s="157"/>
      <c r="EJ60" s="157"/>
      <c r="EK60" s="157"/>
      <c r="EL60" s="157"/>
      <c r="EM60" s="157"/>
      <c r="EN60" s="157"/>
      <c r="EO60" s="157"/>
      <c r="EP60" s="157"/>
      <c r="EQ60" s="157"/>
      <c r="ER60" s="157"/>
      <c r="ES60" s="157"/>
      <c r="ET60" s="157"/>
      <c r="EU60" s="157"/>
      <c r="EV60" s="157"/>
      <c r="EW60" s="157"/>
      <c r="EX60" s="157"/>
      <c r="EY60" s="157"/>
      <c r="EZ60" s="157"/>
      <c r="FA60" s="157"/>
      <c r="FB60" s="157"/>
      <c r="FC60" s="157"/>
      <c r="FD60" s="157"/>
      <c r="FE60" s="157"/>
      <c r="FF60" s="157"/>
      <c r="FG60" s="157"/>
      <c r="FH60" s="157"/>
      <c r="FI60" s="157"/>
      <c r="FJ60" s="157"/>
      <c r="FK60" s="157"/>
      <c r="FL60" s="157"/>
      <c r="FM60" s="157"/>
      <c r="FN60" s="157"/>
      <c r="FO60" s="157"/>
      <c r="FP60" s="157"/>
    </row>
    <row r="61" spans="1:172" s="104" customFormat="1" ht="12.75" customHeight="1" x14ac:dyDescent="0.2">
      <c r="F61" s="145"/>
      <c r="G61" s="6"/>
      <c r="H61" s="6"/>
      <c r="I61" s="146"/>
      <c r="K61" s="160"/>
      <c r="L61" s="160"/>
      <c r="M61" s="160"/>
      <c r="N61" s="160"/>
      <c r="O61" s="160"/>
      <c r="P61" s="160"/>
      <c r="Q61" s="160"/>
      <c r="R61" s="160"/>
      <c r="S61" s="160"/>
      <c r="T61" s="160"/>
      <c r="U61" s="160"/>
      <c r="V61" s="160"/>
      <c r="W61" s="160"/>
      <c r="X61" s="160"/>
      <c r="Y61" s="160"/>
      <c r="Z61" s="160"/>
      <c r="AA61" s="160"/>
      <c r="AB61" s="160"/>
      <c r="AC61" s="160"/>
      <c r="AD61" s="160"/>
      <c r="AE61" s="160"/>
      <c r="AF61" s="160"/>
      <c r="AG61" s="160"/>
      <c r="AH61" s="160"/>
      <c r="AI61" s="160"/>
      <c r="AJ61" s="160"/>
      <c r="AK61" s="160"/>
      <c r="AL61" s="160"/>
      <c r="AM61" s="160"/>
      <c r="AN61" s="160"/>
      <c r="AO61" s="160"/>
      <c r="AP61" s="160"/>
      <c r="AQ61" s="160"/>
      <c r="AR61" s="160"/>
      <c r="AS61" s="160"/>
      <c r="AT61" s="160"/>
      <c r="AU61" s="160"/>
      <c r="AV61" s="160"/>
      <c r="AW61" s="160"/>
      <c r="AX61" s="160"/>
      <c r="AY61" s="160"/>
      <c r="AZ61" s="160"/>
      <c r="BA61" s="160"/>
      <c r="BB61" s="160"/>
      <c r="BC61" s="160"/>
      <c r="BD61" s="160"/>
      <c r="BE61" s="160"/>
      <c r="BF61" s="160"/>
      <c r="BG61" s="160"/>
      <c r="BH61" s="160"/>
      <c r="BI61" s="160"/>
      <c r="BJ61" s="160"/>
      <c r="BK61" s="160"/>
      <c r="BL61" s="160"/>
      <c r="BM61" s="160"/>
      <c r="BN61" s="160"/>
      <c r="BO61" s="160"/>
      <c r="BP61" s="160"/>
      <c r="BQ61" s="160"/>
      <c r="BR61" s="160"/>
      <c r="BS61" s="160"/>
      <c r="BT61" s="160"/>
      <c r="BU61" s="160"/>
      <c r="BV61" s="160"/>
      <c r="BW61" s="160"/>
      <c r="BX61" s="160"/>
      <c r="BY61" s="160"/>
      <c r="BZ61" s="160"/>
      <c r="CA61" s="160"/>
      <c r="CB61" s="160"/>
      <c r="CC61" s="160"/>
      <c r="CD61" s="160"/>
      <c r="CE61" s="160"/>
      <c r="CF61" s="160"/>
      <c r="CG61" s="160"/>
      <c r="CH61" s="160"/>
      <c r="CI61" s="160"/>
      <c r="CJ61" s="160"/>
      <c r="CK61" s="160"/>
      <c r="CL61" s="160"/>
      <c r="CM61" s="160"/>
      <c r="CN61" s="160"/>
      <c r="CO61" s="160"/>
      <c r="CP61" s="160"/>
      <c r="CQ61" s="160"/>
      <c r="CR61" s="160"/>
      <c r="CS61" s="160"/>
      <c r="CT61" s="160"/>
      <c r="CU61" s="160"/>
      <c r="CV61" s="160"/>
      <c r="CW61" s="160"/>
      <c r="CX61" s="157"/>
      <c r="CY61" s="157"/>
      <c r="CZ61" s="157"/>
      <c r="DA61" s="157"/>
      <c r="DB61" s="157"/>
      <c r="DC61" s="157"/>
      <c r="DD61" s="157"/>
      <c r="DE61" s="157"/>
      <c r="DF61" s="157"/>
      <c r="DG61" s="157"/>
      <c r="DH61" s="157"/>
      <c r="DI61" s="157"/>
      <c r="DJ61" s="157"/>
      <c r="DK61" s="157"/>
      <c r="DL61" s="157"/>
      <c r="DM61" s="157"/>
      <c r="DN61" s="157"/>
      <c r="DO61" s="157"/>
      <c r="DP61" s="157"/>
      <c r="DQ61" s="157"/>
      <c r="DR61" s="157"/>
      <c r="DS61" s="157"/>
      <c r="DT61" s="157"/>
      <c r="DU61" s="157"/>
      <c r="DV61" s="157"/>
      <c r="DW61" s="157"/>
      <c r="DX61" s="157"/>
      <c r="DY61" s="157"/>
      <c r="DZ61" s="157"/>
      <c r="EA61" s="157"/>
      <c r="EB61" s="157"/>
      <c r="EC61" s="157"/>
      <c r="ED61" s="157"/>
      <c r="EE61" s="157"/>
      <c r="EF61" s="157"/>
      <c r="EG61" s="157"/>
      <c r="EH61" s="157"/>
      <c r="EI61" s="157"/>
      <c r="EJ61" s="157"/>
      <c r="EK61" s="157"/>
      <c r="EL61" s="157"/>
      <c r="EM61" s="157"/>
      <c r="EN61" s="157"/>
      <c r="EO61" s="157"/>
      <c r="EP61" s="157"/>
      <c r="EQ61" s="157"/>
      <c r="ER61" s="157"/>
      <c r="ES61" s="157"/>
      <c r="ET61" s="157"/>
      <c r="EU61" s="157"/>
      <c r="EV61" s="157"/>
      <c r="EW61" s="157"/>
      <c r="EX61" s="157"/>
      <c r="EY61" s="157"/>
      <c r="EZ61" s="157"/>
      <c r="FA61" s="157"/>
      <c r="FB61" s="157"/>
      <c r="FC61" s="157"/>
      <c r="FD61" s="157"/>
      <c r="FE61" s="157"/>
      <c r="FF61" s="157"/>
      <c r="FG61" s="157"/>
      <c r="FH61" s="157"/>
      <c r="FI61" s="157"/>
      <c r="FJ61" s="157"/>
      <c r="FK61" s="157"/>
      <c r="FL61" s="157"/>
      <c r="FM61" s="157"/>
      <c r="FN61" s="157"/>
      <c r="FO61" s="157"/>
      <c r="FP61" s="157"/>
    </row>
    <row r="62" spans="1:172" s="104" customFormat="1" x14ac:dyDescent="0.2">
      <c r="F62" s="147"/>
      <c r="G62" s="1"/>
      <c r="H62" s="1"/>
      <c r="I62" s="137"/>
      <c r="K62" s="160"/>
      <c r="L62" s="160"/>
      <c r="M62" s="160"/>
      <c r="N62" s="160"/>
      <c r="O62" s="160"/>
      <c r="P62" s="160"/>
      <c r="Q62" s="160"/>
      <c r="R62" s="160"/>
      <c r="S62" s="160"/>
      <c r="T62" s="160"/>
      <c r="U62" s="160"/>
      <c r="V62" s="160"/>
      <c r="W62" s="160"/>
      <c r="X62" s="160"/>
      <c r="Y62" s="160"/>
      <c r="Z62" s="160"/>
      <c r="AA62" s="160"/>
      <c r="AB62" s="160"/>
      <c r="AC62" s="160"/>
      <c r="AD62" s="160"/>
      <c r="AE62" s="160"/>
      <c r="AF62" s="160"/>
      <c r="AG62" s="160"/>
      <c r="AH62" s="160"/>
      <c r="AI62" s="160"/>
      <c r="AJ62" s="160"/>
      <c r="AK62" s="160"/>
      <c r="AL62" s="160"/>
      <c r="AM62" s="160"/>
      <c r="AN62" s="160"/>
      <c r="AO62" s="160"/>
      <c r="AP62" s="160"/>
      <c r="AQ62" s="160"/>
      <c r="AR62" s="160"/>
      <c r="AS62" s="160"/>
      <c r="AT62" s="160"/>
      <c r="AU62" s="160"/>
      <c r="AV62" s="160"/>
      <c r="AW62" s="160"/>
      <c r="AX62" s="160"/>
      <c r="AY62" s="160"/>
      <c r="AZ62" s="160"/>
      <c r="BA62" s="160"/>
      <c r="BB62" s="160"/>
      <c r="BC62" s="160"/>
      <c r="BD62" s="160"/>
      <c r="BE62" s="160"/>
      <c r="BF62" s="160"/>
      <c r="BG62" s="160"/>
      <c r="BH62" s="160"/>
      <c r="BI62" s="160"/>
      <c r="BJ62" s="160"/>
      <c r="BK62" s="160"/>
      <c r="BL62" s="160"/>
      <c r="BM62" s="160"/>
      <c r="BN62" s="160"/>
      <c r="BO62" s="160"/>
      <c r="BP62" s="160"/>
      <c r="BQ62" s="160"/>
      <c r="BR62" s="160"/>
      <c r="BS62" s="160"/>
      <c r="BT62" s="160"/>
      <c r="BU62" s="160"/>
      <c r="BV62" s="160"/>
      <c r="BW62" s="160"/>
      <c r="BX62" s="160"/>
      <c r="BY62" s="160"/>
      <c r="BZ62" s="160"/>
      <c r="CA62" s="160"/>
      <c r="CB62" s="160"/>
      <c r="CC62" s="160"/>
      <c r="CD62" s="160"/>
      <c r="CE62" s="160"/>
      <c r="CF62" s="160"/>
      <c r="CG62" s="160"/>
      <c r="CH62" s="160"/>
      <c r="CI62" s="160"/>
      <c r="CJ62" s="160"/>
      <c r="CK62" s="160"/>
      <c r="CL62" s="160"/>
      <c r="CM62" s="160"/>
      <c r="CN62" s="160"/>
      <c r="CO62" s="160"/>
      <c r="CP62" s="160"/>
      <c r="CQ62" s="160"/>
      <c r="CR62" s="160"/>
      <c r="CS62" s="160"/>
      <c r="CT62" s="160"/>
      <c r="CU62" s="160"/>
      <c r="CV62" s="160"/>
      <c r="CW62" s="160"/>
      <c r="CX62" s="157"/>
      <c r="CY62" s="157"/>
      <c r="CZ62" s="157"/>
      <c r="DA62" s="157"/>
      <c r="DB62" s="157"/>
      <c r="DC62" s="157"/>
      <c r="DD62" s="157"/>
      <c r="DE62" s="157"/>
      <c r="DF62" s="157"/>
      <c r="DG62" s="157"/>
      <c r="DH62" s="157"/>
      <c r="DI62" s="157"/>
      <c r="DJ62" s="157"/>
      <c r="DK62" s="157"/>
      <c r="DL62" s="157"/>
      <c r="DM62" s="157"/>
      <c r="DN62" s="157"/>
      <c r="DO62" s="157"/>
      <c r="DP62" s="157"/>
      <c r="DQ62" s="157"/>
      <c r="DR62" s="157"/>
      <c r="DS62" s="157"/>
      <c r="DT62" s="157"/>
      <c r="DU62" s="157"/>
      <c r="DV62" s="157"/>
      <c r="DW62" s="157"/>
      <c r="DX62" s="157"/>
      <c r="DY62" s="157"/>
      <c r="DZ62" s="157"/>
      <c r="EA62" s="157"/>
      <c r="EB62" s="157"/>
      <c r="EC62" s="157"/>
      <c r="ED62" s="157"/>
      <c r="EE62" s="157"/>
      <c r="EF62" s="157"/>
      <c r="EG62" s="157"/>
      <c r="EH62" s="157"/>
      <c r="EI62" s="157"/>
      <c r="EJ62" s="157"/>
      <c r="EK62" s="157"/>
      <c r="EL62" s="157"/>
      <c r="EM62" s="157"/>
      <c r="EN62" s="157"/>
      <c r="EO62" s="157"/>
      <c r="EP62" s="157"/>
      <c r="EQ62" s="157"/>
      <c r="ER62" s="157"/>
      <c r="ES62" s="157"/>
      <c r="ET62" s="157"/>
      <c r="EU62" s="157"/>
      <c r="EV62" s="157"/>
      <c r="EW62" s="157"/>
      <c r="EX62" s="157"/>
      <c r="EY62" s="157"/>
      <c r="EZ62" s="157"/>
      <c r="FA62" s="157"/>
      <c r="FB62" s="157"/>
      <c r="FC62" s="157"/>
      <c r="FD62" s="157"/>
      <c r="FE62" s="157"/>
      <c r="FF62" s="157"/>
      <c r="FG62" s="157"/>
      <c r="FH62" s="157"/>
      <c r="FI62" s="157"/>
      <c r="FJ62" s="157"/>
      <c r="FK62" s="157"/>
      <c r="FL62" s="157"/>
      <c r="FM62" s="157"/>
      <c r="FN62" s="157"/>
      <c r="FO62" s="157"/>
      <c r="FP62" s="157"/>
    </row>
    <row r="63" spans="1:172" s="104" customFormat="1" x14ac:dyDescent="0.2">
      <c r="F63" s="145"/>
      <c r="G63" s="6"/>
      <c r="H63" s="6"/>
      <c r="I63" s="148"/>
      <c r="K63" s="160"/>
      <c r="L63" s="160"/>
      <c r="M63" s="160"/>
      <c r="N63" s="160"/>
      <c r="O63" s="160"/>
      <c r="P63" s="160"/>
      <c r="Q63" s="160"/>
      <c r="R63" s="160"/>
      <c r="S63" s="160"/>
      <c r="T63" s="160"/>
      <c r="U63" s="160"/>
      <c r="V63" s="160"/>
      <c r="W63" s="160"/>
      <c r="X63" s="160"/>
      <c r="Y63" s="160"/>
      <c r="Z63" s="160"/>
      <c r="AA63" s="160"/>
      <c r="AB63" s="160"/>
      <c r="AC63" s="160"/>
      <c r="AD63" s="160"/>
      <c r="AE63" s="160"/>
      <c r="AF63" s="160"/>
      <c r="AG63" s="160"/>
      <c r="AH63" s="160"/>
      <c r="AI63" s="160"/>
      <c r="AJ63" s="160"/>
      <c r="AK63" s="160"/>
      <c r="AL63" s="160"/>
      <c r="AM63" s="160"/>
      <c r="AN63" s="160"/>
      <c r="AO63" s="160"/>
      <c r="AP63" s="160"/>
      <c r="AQ63" s="160"/>
      <c r="AR63" s="160"/>
      <c r="AS63" s="160"/>
      <c r="AT63" s="160"/>
      <c r="AU63" s="160"/>
      <c r="AV63" s="160"/>
      <c r="AW63" s="160"/>
      <c r="AX63" s="160"/>
      <c r="AY63" s="160"/>
      <c r="AZ63" s="160"/>
      <c r="BA63" s="160"/>
      <c r="BB63" s="160"/>
      <c r="BC63" s="160"/>
      <c r="BD63" s="160"/>
      <c r="BE63" s="160"/>
      <c r="BF63" s="160"/>
      <c r="BG63" s="160"/>
      <c r="BH63" s="160"/>
      <c r="BI63" s="160"/>
      <c r="BJ63" s="160"/>
      <c r="BK63" s="160"/>
      <c r="BL63" s="160"/>
      <c r="BM63" s="160"/>
      <c r="BN63" s="160"/>
      <c r="BO63" s="160"/>
      <c r="BP63" s="160"/>
      <c r="BQ63" s="160"/>
      <c r="BR63" s="160"/>
      <c r="BS63" s="160"/>
      <c r="BT63" s="160"/>
      <c r="BU63" s="160"/>
      <c r="BV63" s="160"/>
      <c r="BW63" s="160"/>
      <c r="BX63" s="160"/>
      <c r="BY63" s="160"/>
      <c r="BZ63" s="160"/>
      <c r="CA63" s="160"/>
      <c r="CB63" s="160"/>
      <c r="CC63" s="160"/>
      <c r="CD63" s="160"/>
      <c r="CE63" s="160"/>
      <c r="CF63" s="160"/>
      <c r="CG63" s="160"/>
      <c r="CH63" s="160"/>
      <c r="CI63" s="160"/>
      <c r="CJ63" s="160"/>
      <c r="CK63" s="160"/>
      <c r="CL63" s="160"/>
      <c r="CM63" s="160"/>
      <c r="CN63" s="160"/>
      <c r="CO63" s="160"/>
      <c r="CP63" s="160"/>
      <c r="CQ63" s="160"/>
      <c r="CR63" s="160"/>
      <c r="CS63" s="160"/>
      <c r="CT63" s="160"/>
      <c r="CU63" s="160"/>
      <c r="CV63" s="160"/>
      <c r="CW63" s="160"/>
      <c r="CX63" s="157"/>
      <c r="CY63" s="157"/>
      <c r="CZ63" s="157"/>
      <c r="DA63" s="157"/>
      <c r="DB63" s="157"/>
      <c r="DC63" s="157"/>
      <c r="DD63" s="157"/>
      <c r="DE63" s="157"/>
      <c r="DF63" s="157"/>
      <c r="DG63" s="157"/>
      <c r="DH63" s="157"/>
      <c r="DI63" s="157"/>
      <c r="DJ63" s="157"/>
      <c r="DK63" s="157"/>
      <c r="DL63" s="157"/>
      <c r="DM63" s="157"/>
      <c r="DN63" s="157"/>
      <c r="DO63" s="157"/>
      <c r="DP63" s="157"/>
      <c r="DQ63" s="157"/>
      <c r="DR63" s="157"/>
      <c r="DS63" s="157"/>
      <c r="DT63" s="157"/>
      <c r="DU63" s="157"/>
      <c r="DV63" s="157"/>
      <c r="DW63" s="157"/>
      <c r="DX63" s="157"/>
      <c r="DY63" s="157"/>
      <c r="DZ63" s="157"/>
      <c r="EA63" s="157"/>
      <c r="EB63" s="157"/>
      <c r="EC63" s="157"/>
      <c r="ED63" s="157"/>
      <c r="EE63" s="157"/>
      <c r="EF63" s="157"/>
      <c r="EG63" s="157"/>
      <c r="EH63" s="157"/>
      <c r="EI63" s="157"/>
      <c r="EJ63" s="157"/>
      <c r="EK63" s="157"/>
      <c r="EL63" s="157"/>
      <c r="EM63" s="157"/>
      <c r="EN63" s="157"/>
      <c r="EO63" s="157"/>
      <c r="EP63" s="157"/>
      <c r="EQ63" s="157"/>
      <c r="ER63" s="157"/>
      <c r="ES63" s="157"/>
      <c r="ET63" s="157"/>
      <c r="EU63" s="157"/>
      <c r="EV63" s="157"/>
      <c r="EW63" s="157"/>
      <c r="EX63" s="157"/>
      <c r="EY63" s="157"/>
      <c r="EZ63" s="157"/>
      <c r="FA63" s="157"/>
      <c r="FB63" s="157"/>
      <c r="FC63" s="157"/>
      <c r="FD63" s="157"/>
      <c r="FE63" s="157"/>
      <c r="FF63" s="157"/>
      <c r="FG63" s="157"/>
      <c r="FH63" s="157"/>
      <c r="FI63" s="157"/>
      <c r="FJ63" s="157"/>
      <c r="FK63" s="157"/>
      <c r="FL63" s="157"/>
      <c r="FM63" s="157"/>
      <c r="FN63" s="157"/>
      <c r="FO63" s="157"/>
      <c r="FP63" s="157"/>
    </row>
    <row r="64" spans="1:172" s="104" customFormat="1" x14ac:dyDescent="0.2">
      <c r="F64" s="147"/>
      <c r="G64" s="1"/>
      <c r="H64" s="1"/>
      <c r="I64" s="137"/>
      <c r="K64" s="160"/>
      <c r="L64" s="160"/>
      <c r="M64" s="160"/>
      <c r="N64" s="160"/>
      <c r="O64" s="160"/>
      <c r="P64" s="160"/>
      <c r="Q64" s="160"/>
      <c r="R64" s="160"/>
      <c r="S64" s="160"/>
      <c r="T64" s="160"/>
      <c r="U64" s="160"/>
      <c r="V64" s="160"/>
      <c r="W64" s="160"/>
      <c r="X64" s="160"/>
      <c r="Y64" s="160"/>
      <c r="Z64" s="160"/>
      <c r="AA64" s="160"/>
      <c r="AB64" s="160"/>
      <c r="AC64" s="160"/>
      <c r="AD64" s="160"/>
      <c r="AE64" s="160"/>
      <c r="AF64" s="160"/>
      <c r="AG64" s="160"/>
      <c r="AH64" s="160"/>
      <c r="AI64" s="160"/>
      <c r="AJ64" s="160"/>
      <c r="AK64" s="160"/>
      <c r="AL64" s="160"/>
      <c r="AM64" s="160"/>
      <c r="AN64" s="160"/>
      <c r="AO64" s="160"/>
      <c r="AP64" s="160"/>
      <c r="AQ64" s="160"/>
      <c r="AR64" s="160"/>
      <c r="AS64" s="160"/>
      <c r="AT64" s="160"/>
      <c r="AU64" s="160"/>
      <c r="AV64" s="160"/>
      <c r="AW64" s="160"/>
      <c r="AX64" s="160"/>
      <c r="AY64" s="160"/>
      <c r="AZ64" s="160"/>
      <c r="BA64" s="160"/>
      <c r="BB64" s="160"/>
      <c r="BC64" s="160"/>
      <c r="BD64" s="160"/>
      <c r="BE64" s="160"/>
      <c r="BF64" s="160"/>
      <c r="BG64" s="160"/>
      <c r="BH64" s="160"/>
      <c r="BI64" s="160"/>
      <c r="BJ64" s="160"/>
      <c r="BK64" s="160"/>
      <c r="BL64" s="160"/>
      <c r="BM64" s="160"/>
      <c r="BN64" s="160"/>
      <c r="BO64" s="160"/>
      <c r="BP64" s="160"/>
      <c r="BQ64" s="160"/>
      <c r="BR64" s="160"/>
      <c r="BS64" s="160"/>
      <c r="BT64" s="160"/>
      <c r="BU64" s="160"/>
      <c r="BV64" s="160"/>
      <c r="BW64" s="160"/>
      <c r="BX64" s="160"/>
      <c r="BY64" s="160"/>
      <c r="BZ64" s="160"/>
      <c r="CA64" s="160"/>
      <c r="CB64" s="160"/>
      <c r="CC64" s="160"/>
      <c r="CD64" s="160"/>
      <c r="CE64" s="160"/>
      <c r="CF64" s="160"/>
      <c r="CG64" s="160"/>
      <c r="CH64" s="160"/>
      <c r="CI64" s="160"/>
      <c r="CJ64" s="160"/>
      <c r="CK64" s="160"/>
      <c r="CL64" s="160"/>
      <c r="CM64" s="160"/>
      <c r="CN64" s="160"/>
      <c r="CO64" s="160"/>
      <c r="CP64" s="160"/>
      <c r="CQ64" s="160"/>
      <c r="CR64" s="160"/>
      <c r="CS64" s="160"/>
      <c r="CT64" s="160"/>
      <c r="CU64" s="160"/>
      <c r="CV64" s="160"/>
      <c r="CW64" s="160"/>
      <c r="CX64" s="157"/>
      <c r="CY64" s="157"/>
      <c r="CZ64" s="157"/>
      <c r="DA64" s="157"/>
      <c r="DB64" s="157"/>
      <c r="DC64" s="157"/>
      <c r="DD64" s="157"/>
      <c r="DE64" s="157"/>
      <c r="DF64" s="157"/>
      <c r="DG64" s="157"/>
      <c r="DH64" s="157"/>
      <c r="DI64" s="157"/>
      <c r="DJ64" s="157"/>
      <c r="DK64" s="157"/>
      <c r="DL64" s="157"/>
      <c r="DM64" s="157"/>
      <c r="DN64" s="157"/>
      <c r="DO64" s="157"/>
      <c r="DP64" s="157"/>
      <c r="DQ64" s="157"/>
      <c r="DR64" s="157"/>
      <c r="DS64" s="157"/>
      <c r="DT64" s="157"/>
      <c r="DU64" s="157"/>
      <c r="DV64" s="157"/>
      <c r="DW64" s="157"/>
      <c r="DX64" s="157"/>
      <c r="DY64" s="157"/>
      <c r="DZ64" s="157"/>
      <c r="EA64" s="157"/>
      <c r="EB64" s="157"/>
      <c r="EC64" s="157"/>
      <c r="ED64" s="157"/>
      <c r="EE64" s="157"/>
      <c r="EF64" s="157"/>
      <c r="EG64" s="157"/>
      <c r="EH64" s="157"/>
      <c r="EI64" s="157"/>
      <c r="EJ64" s="157"/>
      <c r="EK64" s="157"/>
      <c r="EL64" s="157"/>
      <c r="EM64" s="157"/>
      <c r="EN64" s="157"/>
      <c r="EO64" s="157"/>
      <c r="EP64" s="157"/>
      <c r="EQ64" s="157"/>
      <c r="ER64" s="157"/>
      <c r="ES64" s="157"/>
      <c r="ET64" s="157"/>
      <c r="EU64" s="157"/>
      <c r="EV64" s="157"/>
      <c r="EW64" s="157"/>
      <c r="EX64" s="157"/>
      <c r="EY64" s="157"/>
      <c r="EZ64" s="157"/>
      <c r="FA64" s="157"/>
      <c r="FB64" s="157"/>
      <c r="FC64" s="157"/>
      <c r="FD64" s="157"/>
      <c r="FE64" s="157"/>
      <c r="FF64" s="157"/>
      <c r="FG64" s="157"/>
      <c r="FH64" s="157"/>
      <c r="FI64" s="157"/>
      <c r="FJ64" s="157"/>
      <c r="FK64" s="157"/>
      <c r="FL64" s="157"/>
      <c r="FM64" s="157"/>
      <c r="FN64" s="157"/>
      <c r="FO64" s="157"/>
      <c r="FP64" s="157"/>
    </row>
    <row r="65" spans="3:172" s="104" customFormat="1" x14ac:dyDescent="0.2">
      <c r="F65" s="147"/>
      <c r="G65" s="1"/>
      <c r="H65" s="1"/>
      <c r="I65" s="137"/>
      <c r="K65" s="160"/>
      <c r="L65" s="160"/>
      <c r="M65" s="160"/>
      <c r="N65" s="160"/>
      <c r="O65" s="160"/>
      <c r="P65" s="160"/>
      <c r="Q65" s="160"/>
      <c r="R65" s="160"/>
      <c r="S65" s="160"/>
      <c r="T65" s="160"/>
      <c r="U65" s="160"/>
      <c r="V65" s="160"/>
      <c r="W65" s="160"/>
      <c r="X65" s="160"/>
      <c r="Y65" s="160"/>
      <c r="Z65" s="160"/>
      <c r="AA65" s="160"/>
      <c r="AB65" s="160"/>
      <c r="AC65" s="160"/>
      <c r="AD65" s="160"/>
      <c r="AE65" s="160"/>
      <c r="AF65" s="160"/>
      <c r="AG65" s="160"/>
      <c r="AH65" s="160"/>
      <c r="AI65" s="160"/>
      <c r="AJ65" s="160"/>
      <c r="AK65" s="160"/>
      <c r="AL65" s="160"/>
      <c r="AM65" s="160"/>
      <c r="AN65" s="160"/>
      <c r="AO65" s="160"/>
      <c r="AP65" s="160"/>
      <c r="AQ65" s="160"/>
      <c r="AR65" s="160"/>
      <c r="AS65" s="160"/>
      <c r="AT65" s="160"/>
      <c r="AU65" s="160"/>
      <c r="AV65" s="160"/>
      <c r="AW65" s="160"/>
      <c r="AX65" s="160"/>
      <c r="AY65" s="160"/>
      <c r="AZ65" s="160"/>
      <c r="BA65" s="160"/>
      <c r="BB65" s="160"/>
      <c r="BC65" s="160"/>
      <c r="BD65" s="160"/>
      <c r="BE65" s="160"/>
      <c r="BF65" s="160"/>
      <c r="BG65" s="160"/>
      <c r="BH65" s="160"/>
      <c r="BI65" s="160"/>
      <c r="BJ65" s="160"/>
      <c r="BK65" s="160"/>
      <c r="BL65" s="160"/>
      <c r="BM65" s="160"/>
      <c r="BN65" s="160"/>
      <c r="BO65" s="160"/>
      <c r="BP65" s="160"/>
      <c r="BQ65" s="160"/>
      <c r="BR65" s="160"/>
      <c r="BS65" s="160"/>
      <c r="BT65" s="160"/>
      <c r="BU65" s="160"/>
      <c r="BV65" s="160"/>
      <c r="BW65" s="160"/>
      <c r="BX65" s="160"/>
      <c r="BY65" s="160"/>
      <c r="BZ65" s="160"/>
      <c r="CA65" s="160"/>
      <c r="CB65" s="160"/>
      <c r="CC65" s="160"/>
      <c r="CD65" s="160"/>
      <c r="CE65" s="160"/>
      <c r="CF65" s="160"/>
      <c r="CG65" s="160"/>
      <c r="CH65" s="160"/>
      <c r="CI65" s="160"/>
      <c r="CJ65" s="160"/>
      <c r="CK65" s="160"/>
      <c r="CL65" s="160"/>
      <c r="CM65" s="160"/>
      <c r="CN65" s="160"/>
      <c r="CO65" s="160"/>
      <c r="CP65" s="160"/>
      <c r="CQ65" s="160"/>
      <c r="CR65" s="160"/>
      <c r="CS65" s="160"/>
      <c r="CT65" s="160"/>
      <c r="CU65" s="160"/>
      <c r="CV65" s="160"/>
      <c r="CW65" s="160"/>
      <c r="CX65" s="157"/>
      <c r="CY65" s="157"/>
      <c r="CZ65" s="157"/>
      <c r="DA65" s="157"/>
      <c r="DB65" s="157"/>
      <c r="DC65" s="157"/>
      <c r="DD65" s="157"/>
      <c r="DE65" s="157"/>
      <c r="DF65" s="157"/>
      <c r="DG65" s="157"/>
      <c r="DH65" s="157"/>
      <c r="DI65" s="157"/>
      <c r="DJ65" s="157"/>
      <c r="DK65" s="157"/>
      <c r="DL65" s="157"/>
      <c r="DM65" s="157"/>
      <c r="DN65" s="157"/>
      <c r="DO65" s="157"/>
      <c r="DP65" s="157"/>
      <c r="DQ65" s="157"/>
      <c r="DR65" s="157"/>
      <c r="DS65" s="157"/>
      <c r="DT65" s="157"/>
      <c r="DU65" s="157"/>
      <c r="DV65" s="157"/>
      <c r="DW65" s="157"/>
      <c r="DX65" s="157"/>
      <c r="DY65" s="157"/>
      <c r="DZ65" s="157"/>
      <c r="EA65" s="157"/>
      <c r="EB65" s="157"/>
      <c r="EC65" s="157"/>
      <c r="ED65" s="157"/>
      <c r="EE65" s="157"/>
      <c r="EF65" s="157"/>
      <c r="EG65" s="157"/>
      <c r="EH65" s="157"/>
      <c r="EI65" s="157"/>
      <c r="EJ65" s="157"/>
      <c r="EK65" s="157"/>
      <c r="EL65" s="157"/>
      <c r="EM65" s="157"/>
      <c r="EN65" s="157"/>
      <c r="EO65" s="157"/>
      <c r="EP65" s="157"/>
      <c r="EQ65" s="157"/>
      <c r="ER65" s="157"/>
      <c r="ES65" s="157"/>
      <c r="ET65" s="157"/>
      <c r="EU65" s="157"/>
      <c r="EV65" s="157"/>
      <c r="EW65" s="157"/>
      <c r="EX65" s="157"/>
      <c r="EY65" s="157"/>
      <c r="EZ65" s="157"/>
      <c r="FA65" s="157"/>
      <c r="FB65" s="157"/>
      <c r="FC65" s="157"/>
      <c r="FD65" s="157"/>
      <c r="FE65" s="157"/>
      <c r="FF65" s="157"/>
      <c r="FG65" s="157"/>
      <c r="FH65" s="157"/>
      <c r="FI65" s="157"/>
      <c r="FJ65" s="157"/>
      <c r="FK65" s="157"/>
      <c r="FL65" s="157"/>
      <c r="FM65" s="157"/>
      <c r="FN65" s="157"/>
      <c r="FO65" s="157"/>
      <c r="FP65" s="157"/>
    </row>
    <row r="66" spans="3:172" s="104" customFormat="1" x14ac:dyDescent="0.2">
      <c r="F66" s="147"/>
      <c r="G66" s="1"/>
      <c r="H66" s="1"/>
      <c r="I66" s="137"/>
      <c r="K66" s="160"/>
      <c r="L66" s="160"/>
      <c r="M66" s="160"/>
      <c r="N66" s="160"/>
      <c r="O66" s="160"/>
      <c r="P66" s="160"/>
      <c r="Q66" s="160"/>
      <c r="R66" s="160"/>
      <c r="S66" s="160"/>
      <c r="T66" s="160"/>
      <c r="U66" s="160"/>
      <c r="V66" s="160"/>
      <c r="W66" s="160"/>
      <c r="X66" s="160"/>
      <c r="Y66" s="160"/>
      <c r="Z66" s="160"/>
      <c r="AA66" s="160"/>
      <c r="AB66" s="160"/>
      <c r="AC66" s="160"/>
      <c r="AD66" s="160"/>
      <c r="AE66" s="160"/>
      <c r="AF66" s="160"/>
      <c r="AG66" s="160"/>
      <c r="AH66" s="160"/>
      <c r="AI66" s="160"/>
      <c r="AJ66" s="160"/>
      <c r="AK66" s="160"/>
      <c r="AL66" s="160"/>
      <c r="AM66" s="160"/>
      <c r="AN66" s="160"/>
      <c r="AO66" s="160"/>
      <c r="AP66" s="160"/>
      <c r="AQ66" s="160"/>
      <c r="AR66" s="160"/>
      <c r="AS66" s="160"/>
      <c r="AT66" s="160"/>
      <c r="AU66" s="160"/>
      <c r="AV66" s="160"/>
      <c r="AW66" s="160"/>
      <c r="AX66" s="160"/>
      <c r="AY66" s="160"/>
      <c r="AZ66" s="160"/>
      <c r="BA66" s="160"/>
      <c r="BB66" s="160"/>
      <c r="BC66" s="160"/>
      <c r="BD66" s="160"/>
      <c r="BE66" s="160"/>
      <c r="BF66" s="160"/>
      <c r="BG66" s="160"/>
      <c r="BH66" s="160"/>
      <c r="BI66" s="160"/>
      <c r="BJ66" s="160"/>
      <c r="BK66" s="160"/>
      <c r="BL66" s="160"/>
      <c r="BM66" s="160"/>
      <c r="BN66" s="160"/>
      <c r="BO66" s="160"/>
      <c r="BP66" s="160"/>
      <c r="BQ66" s="160"/>
      <c r="BR66" s="160"/>
      <c r="BS66" s="160"/>
      <c r="BT66" s="160"/>
      <c r="BU66" s="160"/>
      <c r="BV66" s="160"/>
      <c r="BW66" s="160"/>
      <c r="BX66" s="160"/>
      <c r="BY66" s="160"/>
      <c r="BZ66" s="160"/>
      <c r="CA66" s="160"/>
      <c r="CB66" s="160"/>
      <c r="CC66" s="160"/>
      <c r="CD66" s="160"/>
      <c r="CE66" s="160"/>
      <c r="CF66" s="160"/>
      <c r="CG66" s="160"/>
      <c r="CH66" s="160"/>
      <c r="CI66" s="160"/>
      <c r="CJ66" s="160"/>
      <c r="CK66" s="160"/>
      <c r="CL66" s="160"/>
      <c r="CM66" s="160"/>
      <c r="CN66" s="160"/>
      <c r="CO66" s="160"/>
      <c r="CP66" s="160"/>
      <c r="CQ66" s="160"/>
      <c r="CR66" s="160"/>
      <c r="CS66" s="160"/>
      <c r="CT66" s="160"/>
      <c r="CU66" s="160"/>
      <c r="CV66" s="160"/>
      <c r="CW66" s="160"/>
      <c r="CX66" s="157"/>
      <c r="CY66" s="157"/>
      <c r="CZ66" s="157"/>
      <c r="DA66" s="157"/>
      <c r="DB66" s="157"/>
      <c r="DC66" s="157"/>
      <c r="DD66" s="157"/>
      <c r="DE66" s="157"/>
      <c r="DF66" s="157"/>
      <c r="DG66" s="157"/>
      <c r="DH66" s="157"/>
      <c r="DI66" s="157"/>
      <c r="DJ66" s="157"/>
      <c r="DK66" s="157"/>
      <c r="DL66" s="157"/>
      <c r="DM66" s="157"/>
      <c r="DN66" s="157"/>
      <c r="DO66" s="157"/>
      <c r="DP66" s="157"/>
      <c r="DQ66" s="157"/>
      <c r="DR66" s="157"/>
      <c r="DS66" s="157"/>
      <c r="DT66" s="157"/>
      <c r="DU66" s="157"/>
      <c r="DV66" s="157"/>
      <c r="DW66" s="157"/>
      <c r="DX66" s="157"/>
      <c r="DY66" s="157"/>
      <c r="DZ66" s="157"/>
      <c r="EA66" s="157"/>
      <c r="EB66" s="157"/>
      <c r="EC66" s="157"/>
      <c r="ED66" s="157"/>
      <c r="EE66" s="157"/>
      <c r="EF66" s="157"/>
      <c r="EG66" s="157"/>
      <c r="EH66" s="157"/>
      <c r="EI66" s="157"/>
      <c r="EJ66" s="157"/>
      <c r="EK66" s="157"/>
      <c r="EL66" s="157"/>
      <c r="EM66" s="157"/>
      <c r="EN66" s="157"/>
      <c r="EO66" s="157"/>
      <c r="EP66" s="157"/>
      <c r="EQ66" s="157"/>
      <c r="ER66" s="157"/>
      <c r="ES66" s="157"/>
      <c r="ET66" s="157"/>
      <c r="EU66" s="157"/>
      <c r="EV66" s="157"/>
      <c r="EW66" s="157"/>
      <c r="EX66" s="157"/>
      <c r="EY66" s="157"/>
      <c r="EZ66" s="157"/>
      <c r="FA66" s="157"/>
      <c r="FB66" s="157"/>
      <c r="FC66" s="157"/>
      <c r="FD66" s="157"/>
      <c r="FE66" s="157"/>
      <c r="FF66" s="157"/>
      <c r="FG66" s="157"/>
      <c r="FH66" s="157"/>
      <c r="FI66" s="157"/>
      <c r="FJ66" s="157"/>
      <c r="FK66" s="157"/>
      <c r="FL66" s="157"/>
      <c r="FM66" s="157"/>
      <c r="FN66" s="157"/>
      <c r="FO66" s="157"/>
      <c r="FP66" s="157"/>
    </row>
    <row r="67" spans="3:172" s="104" customFormat="1" ht="13.5" thickBot="1" x14ac:dyDescent="0.25">
      <c r="F67" s="149"/>
      <c r="G67" s="150"/>
      <c r="H67" s="150"/>
      <c r="I67" s="151"/>
      <c r="K67" s="160"/>
      <c r="L67" s="160"/>
      <c r="M67" s="160"/>
      <c r="N67" s="160"/>
      <c r="O67" s="160"/>
      <c r="P67" s="160"/>
      <c r="Q67" s="160"/>
      <c r="R67" s="160"/>
      <c r="S67" s="160"/>
      <c r="T67" s="160"/>
      <c r="U67" s="160"/>
      <c r="V67" s="160"/>
      <c r="W67" s="160"/>
      <c r="X67" s="160"/>
      <c r="Y67" s="160"/>
      <c r="Z67" s="160"/>
      <c r="AA67" s="160"/>
      <c r="AB67" s="160"/>
      <c r="AC67" s="160"/>
      <c r="AD67" s="160"/>
      <c r="AE67" s="160"/>
      <c r="AF67" s="160"/>
      <c r="AG67" s="160"/>
      <c r="AH67" s="160"/>
      <c r="AI67" s="160"/>
      <c r="AJ67" s="160"/>
      <c r="AK67" s="160"/>
      <c r="AL67" s="160"/>
      <c r="AM67" s="160"/>
      <c r="AN67" s="160"/>
      <c r="AO67" s="160"/>
      <c r="AP67" s="160"/>
      <c r="AQ67" s="160"/>
      <c r="AR67" s="160"/>
      <c r="AS67" s="160"/>
      <c r="AT67" s="160"/>
      <c r="AU67" s="160"/>
      <c r="AV67" s="160"/>
      <c r="AW67" s="160"/>
      <c r="AX67" s="160"/>
      <c r="AY67" s="160"/>
      <c r="AZ67" s="160"/>
      <c r="BA67" s="160"/>
      <c r="BB67" s="160"/>
      <c r="BC67" s="160"/>
      <c r="BD67" s="160"/>
      <c r="BE67" s="160"/>
      <c r="BF67" s="160"/>
      <c r="BG67" s="160"/>
      <c r="BH67" s="160"/>
      <c r="BI67" s="160"/>
      <c r="BJ67" s="160"/>
      <c r="BK67" s="160"/>
      <c r="BL67" s="160"/>
      <c r="BM67" s="160"/>
      <c r="BN67" s="160"/>
      <c r="BO67" s="160"/>
      <c r="BP67" s="160"/>
      <c r="BQ67" s="160"/>
      <c r="BR67" s="160"/>
      <c r="BS67" s="160"/>
      <c r="BT67" s="160"/>
      <c r="BU67" s="160"/>
      <c r="BV67" s="160"/>
      <c r="BW67" s="160"/>
      <c r="BX67" s="160"/>
      <c r="BY67" s="160"/>
      <c r="BZ67" s="160"/>
      <c r="CA67" s="160"/>
      <c r="CB67" s="160"/>
      <c r="CC67" s="160"/>
      <c r="CD67" s="160"/>
      <c r="CE67" s="160"/>
      <c r="CF67" s="160"/>
      <c r="CG67" s="160"/>
      <c r="CH67" s="160"/>
      <c r="CI67" s="160"/>
      <c r="CJ67" s="160"/>
      <c r="CK67" s="160"/>
      <c r="CL67" s="160"/>
      <c r="CM67" s="160"/>
      <c r="CN67" s="160"/>
      <c r="CO67" s="160"/>
      <c r="CP67" s="160"/>
      <c r="CQ67" s="160"/>
      <c r="CR67" s="160"/>
      <c r="CS67" s="160"/>
      <c r="CT67" s="160"/>
      <c r="CU67" s="160"/>
      <c r="CV67" s="160"/>
      <c r="CW67" s="160"/>
      <c r="CX67" s="157"/>
      <c r="CY67" s="157"/>
      <c r="CZ67" s="157"/>
      <c r="DA67" s="157"/>
      <c r="DB67" s="157"/>
      <c r="DC67" s="157"/>
      <c r="DD67" s="157"/>
      <c r="DE67" s="157"/>
      <c r="DF67" s="157"/>
      <c r="DG67" s="157"/>
      <c r="DH67" s="157"/>
      <c r="DI67" s="157"/>
      <c r="DJ67" s="157"/>
      <c r="DK67" s="157"/>
      <c r="DL67" s="157"/>
      <c r="DM67" s="157"/>
      <c r="DN67" s="157"/>
      <c r="DO67" s="157"/>
      <c r="DP67" s="157"/>
      <c r="DQ67" s="157"/>
      <c r="DR67" s="157"/>
      <c r="DS67" s="157"/>
      <c r="DT67" s="157"/>
      <c r="DU67" s="157"/>
      <c r="DV67" s="157"/>
      <c r="DW67" s="157"/>
      <c r="DX67" s="157"/>
      <c r="DY67" s="157"/>
      <c r="DZ67" s="157"/>
      <c r="EA67" s="157"/>
      <c r="EB67" s="157"/>
      <c r="EC67" s="157"/>
      <c r="ED67" s="157"/>
      <c r="EE67" s="157"/>
      <c r="EF67" s="157"/>
      <c r="EG67" s="157"/>
      <c r="EH67" s="157"/>
      <c r="EI67" s="157"/>
      <c r="EJ67" s="157"/>
      <c r="EK67" s="157"/>
      <c r="EL67" s="157"/>
      <c r="EM67" s="157"/>
      <c r="EN67" s="157"/>
      <c r="EO67" s="157"/>
      <c r="EP67" s="157"/>
      <c r="EQ67" s="157"/>
      <c r="ER67" s="157"/>
      <c r="ES67" s="157"/>
      <c r="ET67" s="157"/>
      <c r="EU67" s="157"/>
      <c r="EV67" s="157"/>
      <c r="EW67" s="157"/>
      <c r="EX67" s="157"/>
      <c r="EY67" s="157"/>
      <c r="EZ67" s="157"/>
      <c r="FA67" s="157"/>
      <c r="FB67" s="157"/>
      <c r="FC67" s="157"/>
      <c r="FD67" s="157"/>
      <c r="FE67" s="157"/>
      <c r="FF67" s="157"/>
      <c r="FG67" s="157"/>
      <c r="FH67" s="157"/>
      <c r="FI67" s="157"/>
      <c r="FJ67" s="157"/>
      <c r="FK67" s="157"/>
      <c r="FL67" s="157"/>
      <c r="FM67" s="157"/>
      <c r="FN67" s="157"/>
      <c r="FO67" s="157"/>
      <c r="FP67" s="157"/>
    </row>
    <row r="68" spans="3:172" s="104" customFormat="1" x14ac:dyDescent="0.2">
      <c r="E68" s="105"/>
      <c r="F68" s="1"/>
      <c r="G68" s="1"/>
      <c r="H68" s="1"/>
      <c r="I68" s="1"/>
      <c r="J68" s="105"/>
      <c r="K68" s="160"/>
      <c r="L68" s="160"/>
      <c r="M68" s="160"/>
      <c r="N68" s="160"/>
      <c r="O68" s="160"/>
      <c r="P68" s="160"/>
      <c r="Q68" s="160"/>
      <c r="R68" s="160"/>
      <c r="S68" s="160"/>
      <c r="T68" s="160"/>
      <c r="U68" s="160"/>
      <c r="V68" s="160"/>
      <c r="W68" s="160"/>
      <c r="X68" s="160"/>
      <c r="Y68" s="160"/>
      <c r="Z68" s="160"/>
      <c r="AA68" s="160"/>
      <c r="AB68" s="160"/>
      <c r="AC68" s="160"/>
      <c r="AD68" s="160"/>
      <c r="AE68" s="160"/>
      <c r="AF68" s="160"/>
      <c r="AG68" s="160"/>
      <c r="AH68" s="160"/>
      <c r="AI68" s="160"/>
      <c r="AJ68" s="160"/>
      <c r="AK68" s="160"/>
      <c r="AL68" s="160"/>
      <c r="AM68" s="160"/>
      <c r="AN68" s="160"/>
      <c r="AO68" s="160"/>
      <c r="AP68" s="160"/>
      <c r="AQ68" s="160"/>
      <c r="AR68" s="160"/>
      <c r="AS68" s="160"/>
      <c r="AT68" s="160"/>
      <c r="AU68" s="160"/>
      <c r="AV68" s="160"/>
      <c r="AW68" s="160"/>
      <c r="AX68" s="160"/>
      <c r="AY68" s="160"/>
      <c r="AZ68" s="160"/>
      <c r="BA68" s="160"/>
      <c r="BB68" s="160"/>
      <c r="BC68" s="160"/>
      <c r="BD68" s="160"/>
      <c r="BE68" s="160"/>
      <c r="BF68" s="160"/>
      <c r="BG68" s="160"/>
      <c r="BH68" s="160"/>
      <c r="BI68" s="160"/>
      <c r="BJ68" s="160"/>
      <c r="BK68" s="160"/>
      <c r="BL68" s="160"/>
      <c r="BM68" s="160"/>
      <c r="BN68" s="160"/>
      <c r="BO68" s="160"/>
      <c r="BP68" s="160"/>
      <c r="BQ68" s="160"/>
      <c r="BR68" s="160"/>
      <c r="BS68" s="160"/>
      <c r="BT68" s="160"/>
      <c r="BU68" s="160"/>
      <c r="BV68" s="160"/>
      <c r="BW68" s="160"/>
      <c r="BX68" s="160"/>
      <c r="BY68" s="160"/>
      <c r="BZ68" s="160"/>
      <c r="CA68" s="160"/>
      <c r="CB68" s="160"/>
      <c r="CC68" s="160"/>
      <c r="CD68" s="160"/>
      <c r="CE68" s="160"/>
      <c r="CF68" s="160"/>
      <c r="CG68" s="160"/>
      <c r="CH68" s="160"/>
      <c r="CI68" s="160"/>
      <c r="CJ68" s="160"/>
      <c r="CK68" s="160"/>
      <c r="CL68" s="160"/>
      <c r="CM68" s="160"/>
      <c r="CN68" s="160"/>
      <c r="CO68" s="160"/>
      <c r="CP68" s="160"/>
      <c r="CQ68" s="160"/>
      <c r="CR68" s="160"/>
      <c r="CS68" s="160"/>
      <c r="CT68" s="160"/>
      <c r="CU68" s="160"/>
      <c r="CV68" s="160"/>
      <c r="CW68" s="160"/>
      <c r="CX68" s="157"/>
      <c r="CY68" s="157"/>
      <c r="CZ68" s="157"/>
      <c r="DA68" s="157"/>
      <c r="DB68" s="157"/>
      <c r="DC68" s="157"/>
      <c r="DD68" s="157"/>
      <c r="DE68" s="157"/>
      <c r="DF68" s="157"/>
      <c r="DG68" s="157"/>
      <c r="DH68" s="157"/>
      <c r="DI68" s="157"/>
      <c r="DJ68" s="157"/>
      <c r="DK68" s="157"/>
      <c r="DL68" s="157"/>
      <c r="DM68" s="157"/>
      <c r="DN68" s="157"/>
      <c r="DO68" s="157"/>
      <c r="DP68" s="157"/>
      <c r="DQ68" s="157"/>
      <c r="DR68" s="157"/>
      <c r="DS68" s="157"/>
      <c r="DT68" s="157"/>
      <c r="DU68" s="157"/>
      <c r="DV68" s="157"/>
      <c r="DW68" s="157"/>
      <c r="DX68" s="157"/>
      <c r="DY68" s="157"/>
      <c r="DZ68" s="157"/>
      <c r="EA68" s="157"/>
      <c r="EB68" s="157"/>
      <c r="EC68" s="157"/>
      <c r="ED68" s="157"/>
      <c r="EE68" s="157"/>
      <c r="EF68" s="157"/>
      <c r="EG68" s="157"/>
      <c r="EH68" s="157"/>
      <c r="EI68" s="157"/>
      <c r="EJ68" s="157"/>
      <c r="EK68" s="157"/>
      <c r="EL68" s="157"/>
      <c r="EM68" s="157"/>
      <c r="EN68" s="157"/>
      <c r="EO68" s="157"/>
      <c r="EP68" s="157"/>
      <c r="EQ68" s="157"/>
      <c r="ER68" s="157"/>
      <c r="ES68" s="157"/>
      <c r="ET68" s="157"/>
      <c r="EU68" s="157"/>
      <c r="EV68" s="157"/>
      <c r="EW68" s="157"/>
      <c r="EX68" s="157"/>
      <c r="EY68" s="157"/>
      <c r="EZ68" s="157"/>
      <c r="FA68" s="157"/>
      <c r="FB68" s="157"/>
      <c r="FC68" s="157"/>
      <c r="FD68" s="157"/>
      <c r="FE68" s="157"/>
      <c r="FF68" s="157"/>
      <c r="FG68" s="157"/>
      <c r="FH68" s="157"/>
      <c r="FI68" s="157"/>
      <c r="FJ68" s="157"/>
      <c r="FK68" s="157"/>
      <c r="FL68" s="157"/>
      <c r="FM68" s="157"/>
      <c r="FN68" s="157"/>
      <c r="FO68" s="157"/>
      <c r="FP68" s="157"/>
    </row>
    <row r="69" spans="3:172" s="104" customFormat="1" x14ac:dyDescent="0.2">
      <c r="E69" s="105"/>
      <c r="F69" s="1"/>
      <c r="G69" s="1"/>
      <c r="H69" s="1"/>
      <c r="I69" s="1"/>
      <c r="J69" s="105"/>
      <c r="K69" s="160"/>
      <c r="L69" s="160"/>
      <c r="M69" s="160"/>
      <c r="N69" s="160"/>
      <c r="O69" s="160"/>
      <c r="P69" s="160"/>
      <c r="Q69" s="160"/>
      <c r="R69" s="160"/>
      <c r="S69" s="160"/>
      <c r="T69" s="160"/>
      <c r="U69" s="160"/>
      <c r="V69" s="160"/>
      <c r="W69" s="160"/>
      <c r="X69" s="160"/>
      <c r="Y69" s="160"/>
      <c r="Z69" s="160"/>
      <c r="AA69" s="160"/>
      <c r="AB69" s="160"/>
      <c r="AC69" s="160"/>
      <c r="AD69" s="160"/>
      <c r="AE69" s="160"/>
      <c r="AF69" s="160"/>
      <c r="AG69" s="160"/>
      <c r="AH69" s="160"/>
      <c r="AI69" s="160"/>
      <c r="AJ69" s="160"/>
      <c r="AK69" s="160"/>
      <c r="AL69" s="160"/>
      <c r="AM69" s="160"/>
      <c r="AN69" s="160"/>
      <c r="AO69" s="160"/>
      <c r="AP69" s="160"/>
      <c r="AQ69" s="160"/>
      <c r="AR69" s="160"/>
      <c r="AS69" s="160"/>
      <c r="AT69" s="160"/>
      <c r="AU69" s="160"/>
      <c r="AV69" s="160"/>
      <c r="AW69" s="160"/>
      <c r="AX69" s="160"/>
      <c r="AY69" s="160"/>
      <c r="AZ69" s="160"/>
      <c r="BA69" s="160"/>
      <c r="BB69" s="160"/>
      <c r="BC69" s="160"/>
      <c r="BD69" s="160"/>
      <c r="BE69" s="160"/>
      <c r="BF69" s="160"/>
      <c r="BG69" s="160"/>
      <c r="BH69" s="160"/>
      <c r="BI69" s="160"/>
      <c r="BJ69" s="160"/>
      <c r="BK69" s="160"/>
      <c r="BL69" s="160"/>
      <c r="BM69" s="160"/>
      <c r="BN69" s="160"/>
      <c r="BO69" s="160"/>
      <c r="BP69" s="160"/>
      <c r="BQ69" s="160"/>
      <c r="BR69" s="160"/>
      <c r="BS69" s="160"/>
      <c r="BT69" s="160"/>
      <c r="BU69" s="160"/>
      <c r="BV69" s="160"/>
      <c r="BW69" s="160"/>
      <c r="BX69" s="160"/>
      <c r="BY69" s="160"/>
      <c r="BZ69" s="160"/>
      <c r="CA69" s="160"/>
      <c r="CB69" s="160"/>
      <c r="CC69" s="160"/>
      <c r="CD69" s="160"/>
      <c r="CE69" s="160"/>
      <c r="CF69" s="160"/>
      <c r="CG69" s="160"/>
      <c r="CH69" s="160"/>
      <c r="CI69" s="160"/>
      <c r="CJ69" s="160"/>
      <c r="CK69" s="160"/>
      <c r="CL69" s="160"/>
      <c r="CM69" s="160"/>
      <c r="CN69" s="160"/>
      <c r="CO69" s="160"/>
      <c r="CP69" s="160"/>
      <c r="CQ69" s="160"/>
      <c r="CR69" s="160"/>
      <c r="CS69" s="160"/>
      <c r="CT69" s="160"/>
      <c r="CU69" s="160"/>
      <c r="CV69" s="160"/>
      <c r="CW69" s="160"/>
      <c r="CX69" s="157"/>
      <c r="CY69" s="157"/>
      <c r="CZ69" s="157"/>
      <c r="DA69" s="157"/>
      <c r="DB69" s="157"/>
      <c r="DC69" s="157"/>
      <c r="DD69" s="157"/>
      <c r="DE69" s="157"/>
      <c r="DF69" s="157"/>
      <c r="DG69" s="157"/>
      <c r="DH69" s="157"/>
      <c r="DI69" s="157"/>
      <c r="DJ69" s="157"/>
      <c r="DK69" s="157"/>
      <c r="DL69" s="157"/>
      <c r="DM69" s="157"/>
      <c r="DN69" s="157"/>
      <c r="DO69" s="157"/>
      <c r="DP69" s="157"/>
      <c r="DQ69" s="157"/>
      <c r="DR69" s="157"/>
      <c r="DS69" s="157"/>
      <c r="DT69" s="157"/>
      <c r="DU69" s="157"/>
      <c r="DV69" s="157"/>
      <c r="DW69" s="157"/>
      <c r="DX69" s="157"/>
      <c r="DY69" s="157"/>
      <c r="DZ69" s="157"/>
      <c r="EA69" s="157"/>
      <c r="EB69" s="157"/>
      <c r="EC69" s="157"/>
      <c r="ED69" s="157"/>
      <c r="EE69" s="157"/>
      <c r="EF69" s="157"/>
      <c r="EG69" s="157"/>
      <c r="EH69" s="157"/>
      <c r="EI69" s="157"/>
      <c r="EJ69" s="157"/>
      <c r="EK69" s="157"/>
      <c r="EL69" s="157"/>
      <c r="EM69" s="157"/>
      <c r="EN69" s="157"/>
      <c r="EO69" s="157"/>
      <c r="EP69" s="157"/>
      <c r="EQ69" s="157"/>
      <c r="ER69" s="157"/>
      <c r="ES69" s="157"/>
      <c r="ET69" s="157"/>
      <c r="EU69" s="157"/>
      <c r="EV69" s="157"/>
      <c r="EW69" s="157"/>
      <c r="EX69" s="157"/>
      <c r="EY69" s="157"/>
      <c r="EZ69" s="157"/>
      <c r="FA69" s="157"/>
      <c r="FB69" s="157"/>
      <c r="FC69" s="157"/>
      <c r="FD69" s="157"/>
      <c r="FE69" s="157"/>
      <c r="FF69" s="157"/>
      <c r="FG69" s="157"/>
      <c r="FH69" s="157"/>
      <c r="FI69" s="157"/>
      <c r="FJ69" s="157"/>
      <c r="FK69" s="157"/>
      <c r="FL69" s="157"/>
      <c r="FM69" s="157"/>
      <c r="FN69" s="157"/>
      <c r="FO69" s="157"/>
      <c r="FP69" s="157"/>
    </row>
    <row r="70" spans="3:172" s="104" customFormat="1" x14ac:dyDescent="0.2">
      <c r="E70" s="105"/>
      <c r="F70" s="1"/>
      <c r="G70" s="1"/>
      <c r="H70" s="1"/>
      <c r="I70" s="1"/>
      <c r="J70" s="105"/>
      <c r="K70" s="160"/>
      <c r="L70" s="160"/>
      <c r="M70" s="160"/>
      <c r="N70" s="160"/>
      <c r="O70" s="160"/>
      <c r="P70" s="160"/>
      <c r="Q70" s="160"/>
      <c r="R70" s="160"/>
      <c r="S70" s="160"/>
      <c r="T70" s="160"/>
      <c r="U70" s="160"/>
      <c r="V70" s="160"/>
      <c r="W70" s="160"/>
      <c r="X70" s="160"/>
      <c r="Y70" s="160"/>
      <c r="Z70" s="160"/>
      <c r="AA70" s="160"/>
      <c r="AB70" s="160"/>
      <c r="AC70" s="160"/>
      <c r="AD70" s="160"/>
      <c r="AE70" s="160"/>
      <c r="AF70" s="160"/>
      <c r="AG70" s="160"/>
      <c r="AH70" s="160"/>
      <c r="AI70" s="160"/>
      <c r="AJ70" s="160"/>
      <c r="AK70" s="160"/>
      <c r="AL70" s="160"/>
      <c r="AM70" s="160"/>
      <c r="AN70" s="160"/>
      <c r="AO70" s="160"/>
      <c r="AP70" s="160"/>
      <c r="AQ70" s="160"/>
      <c r="AR70" s="160"/>
      <c r="AS70" s="160"/>
      <c r="AT70" s="160"/>
      <c r="AU70" s="160"/>
      <c r="AV70" s="160"/>
      <c r="AW70" s="160"/>
      <c r="AX70" s="160"/>
      <c r="AY70" s="160"/>
      <c r="AZ70" s="160"/>
      <c r="BA70" s="160"/>
      <c r="BB70" s="160"/>
      <c r="BC70" s="160"/>
      <c r="BD70" s="160"/>
      <c r="BE70" s="160"/>
      <c r="BF70" s="160"/>
      <c r="BG70" s="160"/>
      <c r="BH70" s="160"/>
      <c r="BI70" s="160"/>
      <c r="BJ70" s="160"/>
      <c r="BK70" s="160"/>
      <c r="BL70" s="160"/>
      <c r="BM70" s="160"/>
      <c r="BN70" s="160"/>
      <c r="BO70" s="160"/>
      <c r="BP70" s="160"/>
      <c r="BQ70" s="160"/>
      <c r="BR70" s="160"/>
      <c r="BS70" s="160"/>
      <c r="BT70" s="160"/>
      <c r="BU70" s="160"/>
      <c r="BV70" s="160"/>
      <c r="BW70" s="160"/>
      <c r="BX70" s="160"/>
      <c r="BY70" s="160"/>
      <c r="BZ70" s="160"/>
      <c r="CA70" s="160"/>
      <c r="CB70" s="160"/>
      <c r="CC70" s="160"/>
      <c r="CD70" s="160"/>
      <c r="CE70" s="160"/>
      <c r="CF70" s="160"/>
      <c r="CG70" s="160"/>
      <c r="CH70" s="160"/>
      <c r="CI70" s="160"/>
      <c r="CJ70" s="160"/>
      <c r="CK70" s="160"/>
      <c r="CL70" s="160"/>
      <c r="CM70" s="160"/>
      <c r="CN70" s="160"/>
      <c r="CO70" s="160"/>
      <c r="CP70" s="160"/>
      <c r="CQ70" s="160"/>
      <c r="CR70" s="160"/>
      <c r="CS70" s="160"/>
      <c r="CT70" s="160"/>
      <c r="CU70" s="160"/>
      <c r="CV70" s="160"/>
      <c r="CW70" s="160"/>
      <c r="CX70" s="157"/>
      <c r="CY70" s="157"/>
      <c r="CZ70" s="157"/>
      <c r="DA70" s="157"/>
      <c r="DB70" s="157"/>
      <c r="DC70" s="157"/>
      <c r="DD70" s="157"/>
      <c r="DE70" s="157"/>
      <c r="DF70" s="157"/>
      <c r="DG70" s="157"/>
      <c r="DH70" s="157"/>
      <c r="DI70" s="157"/>
      <c r="DJ70" s="157"/>
      <c r="DK70" s="157"/>
      <c r="DL70" s="157"/>
      <c r="DM70" s="157"/>
      <c r="DN70" s="157"/>
      <c r="DO70" s="157"/>
      <c r="DP70" s="157"/>
      <c r="DQ70" s="157"/>
      <c r="DR70" s="157"/>
      <c r="DS70" s="157"/>
      <c r="DT70" s="157"/>
      <c r="DU70" s="157"/>
      <c r="DV70" s="157"/>
      <c r="DW70" s="157"/>
      <c r="DX70" s="157"/>
      <c r="DY70" s="157"/>
      <c r="DZ70" s="157"/>
      <c r="EA70" s="157"/>
      <c r="EB70" s="157"/>
      <c r="EC70" s="157"/>
      <c r="ED70" s="157"/>
      <c r="EE70" s="157"/>
      <c r="EF70" s="157"/>
      <c r="EG70" s="157"/>
      <c r="EH70" s="157"/>
      <c r="EI70" s="157"/>
      <c r="EJ70" s="157"/>
      <c r="EK70" s="157"/>
      <c r="EL70" s="157"/>
      <c r="EM70" s="157"/>
      <c r="EN70" s="157"/>
      <c r="EO70" s="157"/>
      <c r="EP70" s="157"/>
      <c r="EQ70" s="157"/>
      <c r="ER70" s="157"/>
      <c r="ES70" s="157"/>
      <c r="ET70" s="157"/>
      <c r="EU70" s="157"/>
      <c r="EV70" s="157"/>
      <c r="EW70" s="157"/>
      <c r="EX70" s="157"/>
      <c r="EY70" s="157"/>
      <c r="EZ70" s="157"/>
      <c r="FA70" s="157"/>
      <c r="FB70" s="157"/>
      <c r="FC70" s="157"/>
      <c r="FD70" s="157"/>
      <c r="FE70" s="157"/>
      <c r="FF70" s="157"/>
      <c r="FG70" s="157"/>
      <c r="FH70" s="157"/>
      <c r="FI70" s="157"/>
      <c r="FJ70" s="157"/>
      <c r="FK70" s="157"/>
      <c r="FL70" s="157"/>
      <c r="FM70" s="157"/>
      <c r="FN70" s="157"/>
      <c r="FO70" s="157"/>
      <c r="FP70" s="157"/>
    </row>
    <row r="71" spans="3:172" s="104" customFormat="1" x14ac:dyDescent="0.2">
      <c r="E71" s="105"/>
      <c r="F71" s="105"/>
      <c r="G71" s="105"/>
      <c r="H71" s="105"/>
      <c r="I71" s="105"/>
      <c r="J71" s="105"/>
      <c r="K71" s="160"/>
      <c r="L71" s="160"/>
      <c r="M71" s="160"/>
      <c r="N71" s="160"/>
      <c r="O71" s="160"/>
      <c r="P71" s="160"/>
      <c r="Q71" s="160"/>
      <c r="R71" s="160"/>
      <c r="S71" s="160"/>
      <c r="T71" s="160"/>
      <c r="U71" s="160"/>
      <c r="V71" s="160"/>
      <c r="W71" s="160"/>
      <c r="X71" s="160"/>
      <c r="Y71" s="160"/>
      <c r="Z71" s="160"/>
      <c r="AA71" s="160"/>
      <c r="AB71" s="160"/>
      <c r="AC71" s="160"/>
      <c r="AD71" s="160"/>
      <c r="AE71" s="160"/>
      <c r="AF71" s="160"/>
      <c r="AG71" s="160"/>
      <c r="AH71" s="160"/>
      <c r="AI71" s="160"/>
      <c r="AJ71" s="160"/>
      <c r="AK71" s="160"/>
      <c r="AL71" s="160"/>
      <c r="AM71" s="160"/>
      <c r="AN71" s="160"/>
      <c r="AO71" s="160"/>
      <c r="AP71" s="160"/>
      <c r="AQ71" s="160"/>
      <c r="AR71" s="160"/>
      <c r="AS71" s="160"/>
      <c r="AT71" s="160"/>
      <c r="AU71" s="160"/>
      <c r="AV71" s="160"/>
      <c r="AW71" s="160"/>
      <c r="AX71" s="160"/>
      <c r="AY71" s="160"/>
      <c r="AZ71" s="160"/>
      <c r="BA71" s="160"/>
      <c r="BB71" s="160"/>
      <c r="BC71" s="160"/>
      <c r="BD71" s="160"/>
      <c r="BE71" s="160"/>
      <c r="BF71" s="160"/>
      <c r="BG71" s="160"/>
      <c r="BH71" s="160"/>
      <c r="BI71" s="160"/>
      <c r="BJ71" s="160"/>
      <c r="BK71" s="160"/>
      <c r="BL71" s="160"/>
      <c r="BM71" s="160"/>
      <c r="BN71" s="160"/>
      <c r="BO71" s="160"/>
      <c r="BP71" s="160"/>
      <c r="BQ71" s="160"/>
      <c r="BR71" s="160"/>
      <c r="BS71" s="160"/>
      <c r="BT71" s="160"/>
      <c r="BU71" s="160"/>
      <c r="BV71" s="160"/>
      <c r="BW71" s="160"/>
      <c r="BX71" s="160"/>
      <c r="BY71" s="160"/>
      <c r="BZ71" s="160"/>
      <c r="CA71" s="160"/>
      <c r="CB71" s="160"/>
      <c r="CC71" s="160"/>
      <c r="CD71" s="160"/>
      <c r="CE71" s="160"/>
      <c r="CF71" s="160"/>
      <c r="CG71" s="160"/>
      <c r="CH71" s="160"/>
      <c r="CI71" s="160"/>
      <c r="CJ71" s="160"/>
      <c r="CK71" s="160"/>
      <c r="CL71" s="160"/>
      <c r="CM71" s="160"/>
      <c r="CN71" s="160"/>
      <c r="CO71" s="160"/>
      <c r="CP71" s="160"/>
      <c r="CQ71" s="160"/>
      <c r="CR71" s="160"/>
      <c r="CS71" s="160"/>
      <c r="CT71" s="160"/>
      <c r="CU71" s="160"/>
      <c r="CV71" s="160"/>
      <c r="CW71" s="160"/>
      <c r="CX71" s="157"/>
      <c r="CY71" s="157"/>
      <c r="CZ71" s="157"/>
      <c r="DA71" s="157"/>
      <c r="DB71" s="157"/>
      <c r="DC71" s="157"/>
      <c r="DD71" s="157"/>
      <c r="DE71" s="157"/>
      <c r="DF71" s="157"/>
      <c r="DG71" s="157"/>
      <c r="DH71" s="157"/>
      <c r="DI71" s="157"/>
      <c r="DJ71" s="157"/>
      <c r="DK71" s="157"/>
      <c r="DL71" s="157"/>
      <c r="DM71" s="157"/>
      <c r="DN71" s="157"/>
      <c r="DO71" s="157"/>
      <c r="DP71" s="157"/>
      <c r="DQ71" s="157"/>
      <c r="DR71" s="157"/>
      <c r="DS71" s="157"/>
      <c r="DT71" s="157"/>
      <c r="DU71" s="157"/>
      <c r="DV71" s="157"/>
      <c r="DW71" s="157"/>
      <c r="DX71" s="157"/>
      <c r="DY71" s="157"/>
      <c r="DZ71" s="157"/>
      <c r="EA71" s="157"/>
      <c r="EB71" s="157"/>
      <c r="EC71" s="157"/>
      <c r="ED71" s="157"/>
      <c r="EE71" s="157"/>
      <c r="EF71" s="157"/>
      <c r="EG71" s="157"/>
      <c r="EH71" s="157"/>
      <c r="EI71" s="157"/>
      <c r="EJ71" s="157"/>
      <c r="EK71" s="157"/>
      <c r="EL71" s="157"/>
      <c r="EM71" s="157"/>
      <c r="EN71" s="157"/>
      <c r="EO71" s="157"/>
      <c r="EP71" s="157"/>
      <c r="EQ71" s="157"/>
      <c r="ER71" s="157"/>
      <c r="ES71" s="157"/>
      <c r="ET71" s="157"/>
      <c r="EU71" s="157"/>
      <c r="EV71" s="157"/>
      <c r="EW71" s="157"/>
      <c r="EX71" s="157"/>
      <c r="EY71" s="157"/>
      <c r="EZ71" s="157"/>
      <c r="FA71" s="157"/>
      <c r="FB71" s="157"/>
      <c r="FC71" s="157"/>
      <c r="FD71" s="157"/>
      <c r="FE71" s="157"/>
      <c r="FF71" s="157"/>
      <c r="FG71" s="157"/>
      <c r="FH71" s="157"/>
      <c r="FI71" s="157"/>
      <c r="FJ71" s="157"/>
      <c r="FK71" s="157"/>
      <c r="FL71" s="157"/>
      <c r="FM71" s="157"/>
      <c r="FN71" s="157"/>
      <c r="FO71" s="157"/>
      <c r="FP71" s="157"/>
    </row>
    <row r="72" spans="3:172" s="160" customFormat="1" x14ac:dyDescent="0.2">
      <c r="C72" s="162"/>
    </row>
    <row r="73" spans="3:172" s="160" customFormat="1" x14ac:dyDescent="0.2">
      <c r="C73" s="162"/>
    </row>
    <row r="74" spans="3:172" s="160" customFormat="1" x14ac:dyDescent="0.2">
      <c r="C74" s="162"/>
    </row>
    <row r="75" spans="3:172" s="160" customFormat="1" x14ac:dyDescent="0.2">
      <c r="C75" s="162"/>
    </row>
    <row r="76" spans="3:172" s="160" customFormat="1" x14ac:dyDescent="0.2">
      <c r="C76" s="162"/>
    </row>
    <row r="77" spans="3:172" s="160" customFormat="1" x14ac:dyDescent="0.2">
      <c r="C77" s="162"/>
    </row>
    <row r="78" spans="3:172" s="160" customFormat="1" x14ac:dyDescent="0.2"/>
    <row r="79" spans="3:172" s="160" customFormat="1" x14ac:dyDescent="0.2"/>
    <row r="80" spans="3:172" s="160" customFormat="1" x14ac:dyDescent="0.2"/>
    <row r="81" s="160" customFormat="1" x14ac:dyDescent="0.2"/>
    <row r="82" s="160" customFormat="1" x14ac:dyDescent="0.2"/>
    <row r="83" s="160" customFormat="1" x14ac:dyDescent="0.2"/>
    <row r="84" s="160" customFormat="1" x14ac:dyDescent="0.2"/>
    <row r="85" s="160" customFormat="1" x14ac:dyDescent="0.2"/>
    <row r="86" s="160" customFormat="1" x14ac:dyDescent="0.2"/>
    <row r="87" s="160" customFormat="1" x14ac:dyDescent="0.2"/>
    <row r="88" s="160" customFormat="1" x14ac:dyDescent="0.2"/>
    <row r="89" s="160" customFormat="1" x14ac:dyDescent="0.2"/>
    <row r="90" s="160" customFormat="1" x14ac:dyDescent="0.2"/>
    <row r="91" s="160" customFormat="1" x14ac:dyDescent="0.2"/>
    <row r="92" s="160" customFormat="1" x14ac:dyDescent="0.2"/>
    <row r="93" s="160" customFormat="1" x14ac:dyDescent="0.2"/>
    <row r="94" s="160" customFormat="1" x14ac:dyDescent="0.2"/>
    <row r="95" s="160" customFormat="1" x14ac:dyDescent="0.2"/>
    <row r="96" s="160" customFormat="1" x14ac:dyDescent="0.2"/>
    <row r="97" s="160" customFormat="1" x14ac:dyDescent="0.2"/>
    <row r="98" s="160" customFormat="1" x14ac:dyDescent="0.2"/>
    <row r="99" s="160" customFormat="1" x14ac:dyDescent="0.2"/>
    <row r="100" s="160" customFormat="1" x14ac:dyDescent="0.2"/>
    <row r="101" s="160" customFormat="1" x14ac:dyDescent="0.2"/>
    <row r="102" s="160" customFormat="1" x14ac:dyDescent="0.2"/>
    <row r="103" s="160" customFormat="1" x14ac:dyDescent="0.2"/>
    <row r="104" s="160" customFormat="1" x14ac:dyDescent="0.2"/>
    <row r="105" s="160" customFormat="1" x14ac:dyDescent="0.2"/>
    <row r="106" s="160" customFormat="1" x14ac:dyDescent="0.2"/>
    <row r="107" s="160" customFormat="1" x14ac:dyDescent="0.2"/>
    <row r="108" s="160" customFormat="1" x14ac:dyDescent="0.2"/>
    <row r="109" s="160" customFormat="1" x14ac:dyDescent="0.2"/>
    <row r="110" s="160" customFormat="1" x14ac:dyDescent="0.2"/>
    <row r="111" s="160" customFormat="1" x14ac:dyDescent="0.2"/>
    <row r="112" s="160" customFormat="1" x14ac:dyDescent="0.2"/>
    <row r="113" s="160" customFormat="1" x14ac:dyDescent="0.2"/>
    <row r="114" s="160" customFormat="1" x14ac:dyDescent="0.2"/>
    <row r="115" s="160" customFormat="1" x14ac:dyDescent="0.2"/>
    <row r="116" s="160" customFormat="1" x14ac:dyDescent="0.2"/>
    <row r="117" s="160" customFormat="1" x14ac:dyDescent="0.2"/>
    <row r="118" s="160" customFormat="1" x14ac:dyDescent="0.2"/>
    <row r="119" s="160" customFormat="1" x14ac:dyDescent="0.2"/>
    <row r="120" s="160" customFormat="1" x14ac:dyDescent="0.2"/>
    <row r="121" s="160" customFormat="1" x14ac:dyDescent="0.2"/>
    <row r="122" s="160" customFormat="1" x14ac:dyDescent="0.2"/>
    <row r="123" s="160" customFormat="1" x14ac:dyDescent="0.2"/>
    <row r="124" s="160" customFormat="1" x14ac:dyDescent="0.2"/>
    <row r="125" s="160" customFormat="1" x14ac:dyDescent="0.2"/>
    <row r="126" s="160" customFormat="1" x14ac:dyDescent="0.2"/>
    <row r="127" s="160" customFormat="1" x14ac:dyDescent="0.2"/>
    <row r="128" s="160" customFormat="1" x14ac:dyDescent="0.2"/>
    <row r="129" s="160" customFormat="1" x14ac:dyDescent="0.2"/>
    <row r="130" s="160" customFormat="1" x14ac:dyDescent="0.2"/>
    <row r="131" s="160" customFormat="1" x14ac:dyDescent="0.2"/>
    <row r="132" s="160" customFormat="1" x14ac:dyDescent="0.2"/>
    <row r="133" s="160" customFormat="1" x14ac:dyDescent="0.2"/>
    <row r="134" s="160" customFormat="1" x14ac:dyDescent="0.2"/>
    <row r="135" s="160" customFormat="1" x14ac:dyDescent="0.2"/>
    <row r="136" s="160" customFormat="1" x14ac:dyDescent="0.2"/>
    <row r="137" s="160" customFormat="1" x14ac:dyDescent="0.2"/>
    <row r="138" s="160" customFormat="1" x14ac:dyDescent="0.2"/>
    <row r="139" s="160" customFormat="1" x14ac:dyDescent="0.2"/>
    <row r="140" s="160" customFormat="1" x14ac:dyDescent="0.2"/>
    <row r="141" s="160" customFormat="1" x14ac:dyDescent="0.2"/>
    <row r="142" s="160" customFormat="1" x14ac:dyDescent="0.2"/>
    <row r="143" s="160" customFormat="1" x14ac:dyDescent="0.2"/>
    <row r="144" s="160" customFormat="1" x14ac:dyDescent="0.2"/>
    <row r="145" s="160" customFormat="1" x14ac:dyDescent="0.2"/>
    <row r="146" s="160" customFormat="1" x14ac:dyDescent="0.2"/>
    <row r="147" s="160" customFormat="1" x14ac:dyDescent="0.2"/>
    <row r="148" s="160" customFormat="1" x14ac:dyDescent="0.2"/>
    <row r="149" s="160" customFormat="1" x14ac:dyDescent="0.2"/>
    <row r="150" s="160" customFormat="1" x14ac:dyDescent="0.2"/>
    <row r="151" s="160" customFormat="1" x14ac:dyDescent="0.2"/>
    <row r="152" s="160" customFormat="1" x14ac:dyDescent="0.2"/>
    <row r="153" s="160" customFormat="1" x14ac:dyDescent="0.2"/>
    <row r="154" s="160" customFormat="1" x14ac:dyDescent="0.2"/>
    <row r="155" s="160" customFormat="1" x14ac:dyDescent="0.2"/>
    <row r="156" s="160" customFormat="1" x14ac:dyDescent="0.2"/>
    <row r="157" s="160" customFormat="1" x14ac:dyDescent="0.2"/>
    <row r="158" s="160" customFormat="1" x14ac:dyDescent="0.2"/>
    <row r="159" s="160" customFormat="1" x14ac:dyDescent="0.2"/>
    <row r="160" s="160" customFormat="1" x14ac:dyDescent="0.2"/>
    <row r="161" s="160" customFormat="1" x14ac:dyDescent="0.2"/>
    <row r="162" s="160" customFormat="1" x14ac:dyDescent="0.2"/>
    <row r="163" s="160" customFormat="1" x14ac:dyDescent="0.2"/>
    <row r="164" s="160" customFormat="1" x14ac:dyDescent="0.2"/>
    <row r="165" s="160" customFormat="1" x14ac:dyDescent="0.2"/>
    <row r="166" s="160" customFormat="1" x14ac:dyDescent="0.2"/>
    <row r="167" s="160" customFormat="1" x14ac:dyDescent="0.2"/>
    <row r="168" s="160" customFormat="1" x14ac:dyDescent="0.2"/>
    <row r="169" s="160" customFormat="1" x14ac:dyDescent="0.2"/>
    <row r="170" s="160" customFormat="1" x14ac:dyDescent="0.2"/>
    <row r="171" s="160" customFormat="1" x14ac:dyDescent="0.2"/>
    <row r="172" s="160" customFormat="1" x14ac:dyDescent="0.2"/>
    <row r="173" s="160" customFormat="1" x14ac:dyDescent="0.2"/>
    <row r="174" s="160" customFormat="1" x14ac:dyDescent="0.2"/>
    <row r="175" s="160" customFormat="1" x14ac:dyDescent="0.2"/>
    <row r="176" s="160" customFormat="1" x14ac:dyDescent="0.2"/>
    <row r="177" s="160" customFormat="1" x14ac:dyDescent="0.2"/>
    <row r="178" s="160" customFormat="1" x14ac:dyDescent="0.2"/>
    <row r="179" s="160" customFormat="1" x14ac:dyDescent="0.2"/>
    <row r="180" s="160" customFormat="1" x14ac:dyDescent="0.2"/>
    <row r="181" s="160" customFormat="1" x14ac:dyDescent="0.2"/>
    <row r="182" s="160" customFormat="1" x14ac:dyDescent="0.2"/>
    <row r="183" s="160" customFormat="1" x14ac:dyDescent="0.2"/>
    <row r="184" s="160" customFormat="1" x14ac:dyDescent="0.2"/>
    <row r="185" s="160" customFormat="1" x14ac:dyDescent="0.2"/>
    <row r="186" s="160" customFormat="1" x14ac:dyDescent="0.2"/>
    <row r="187" s="160" customFormat="1" x14ac:dyDescent="0.2"/>
    <row r="188" s="160" customFormat="1" x14ac:dyDescent="0.2"/>
    <row r="189" s="160" customFormat="1" x14ac:dyDescent="0.2"/>
    <row r="190" s="160" customFormat="1" x14ac:dyDescent="0.2"/>
    <row r="191" s="160" customFormat="1" x14ac:dyDescent="0.2"/>
    <row r="192" s="160" customFormat="1" x14ac:dyDescent="0.2"/>
    <row r="193" s="160" customFormat="1" x14ac:dyDescent="0.2"/>
    <row r="194" s="160" customFormat="1" x14ac:dyDescent="0.2"/>
    <row r="195" s="160" customFormat="1" x14ac:dyDescent="0.2"/>
    <row r="196" s="160" customFormat="1" x14ac:dyDescent="0.2"/>
    <row r="197" s="160" customFormat="1" x14ac:dyDescent="0.2"/>
    <row r="198" s="160" customFormat="1" x14ac:dyDescent="0.2"/>
    <row r="199" s="160" customFormat="1" x14ac:dyDescent="0.2"/>
    <row r="200" s="160" customFormat="1" x14ac:dyDescent="0.2"/>
    <row r="201" s="160" customFormat="1" x14ac:dyDescent="0.2"/>
    <row r="202" s="160" customFormat="1" x14ac:dyDescent="0.2"/>
    <row r="203" s="160" customFormat="1" x14ac:dyDescent="0.2"/>
    <row r="204" s="160" customFormat="1" x14ac:dyDescent="0.2"/>
    <row r="205" s="160" customFormat="1" x14ac:dyDescent="0.2"/>
    <row r="206" s="160" customFormat="1" x14ac:dyDescent="0.2"/>
    <row r="207" s="160" customFormat="1" x14ac:dyDescent="0.2"/>
    <row r="208" s="160" customFormat="1" x14ac:dyDescent="0.2"/>
    <row r="209" s="160" customFormat="1" x14ac:dyDescent="0.2"/>
    <row r="210" s="160" customFormat="1" x14ac:dyDescent="0.2"/>
    <row r="211" s="160" customFormat="1" x14ac:dyDescent="0.2"/>
    <row r="212" s="160" customFormat="1" x14ac:dyDescent="0.2"/>
    <row r="213" s="160" customFormat="1" x14ac:dyDescent="0.2"/>
    <row r="214" s="160" customFormat="1" x14ac:dyDescent="0.2"/>
    <row r="215" s="160" customFormat="1" x14ac:dyDescent="0.2"/>
    <row r="216" s="160" customFormat="1" x14ac:dyDescent="0.2"/>
    <row r="217" s="160" customFormat="1" x14ac:dyDescent="0.2"/>
    <row r="218" s="160" customFormat="1" x14ac:dyDescent="0.2"/>
    <row r="219" s="160" customFormat="1" x14ac:dyDescent="0.2"/>
    <row r="220" s="160" customFormat="1" x14ac:dyDescent="0.2"/>
    <row r="221" s="160" customFormat="1" x14ac:dyDescent="0.2"/>
    <row r="222" s="160" customFormat="1" x14ac:dyDescent="0.2"/>
    <row r="223" s="160" customFormat="1" x14ac:dyDescent="0.2"/>
    <row r="224" s="160" customFormat="1" x14ac:dyDescent="0.2"/>
    <row r="225" s="160" customFormat="1" x14ac:dyDescent="0.2"/>
    <row r="226" s="160" customFormat="1" x14ac:dyDescent="0.2"/>
    <row r="227" s="160" customFormat="1" x14ac:dyDescent="0.2"/>
    <row r="228" s="160" customFormat="1" x14ac:dyDescent="0.2"/>
    <row r="229" s="160" customFormat="1" x14ac:dyDescent="0.2"/>
    <row r="230" s="160" customFormat="1" x14ac:dyDescent="0.2"/>
    <row r="231" s="160" customFormat="1" x14ac:dyDescent="0.2"/>
    <row r="232" s="160" customFormat="1" x14ac:dyDescent="0.2"/>
    <row r="233" s="160" customFormat="1" x14ac:dyDescent="0.2"/>
    <row r="234" s="160" customFormat="1" x14ac:dyDescent="0.2"/>
    <row r="235" s="160" customFormat="1" x14ac:dyDescent="0.2"/>
    <row r="236" s="160" customFormat="1" x14ac:dyDescent="0.2"/>
    <row r="237" s="160" customFormat="1" x14ac:dyDescent="0.2"/>
    <row r="238" s="160" customFormat="1" x14ac:dyDescent="0.2"/>
    <row r="239" s="160" customFormat="1" x14ac:dyDescent="0.2"/>
    <row r="240" s="160" customFormat="1" x14ac:dyDescent="0.2"/>
    <row r="241" s="160" customFormat="1" x14ac:dyDescent="0.2"/>
    <row r="242" s="160" customFormat="1" x14ac:dyDescent="0.2"/>
    <row r="243" s="160" customFormat="1" x14ac:dyDescent="0.2"/>
    <row r="244" s="160" customFormat="1" x14ac:dyDescent="0.2"/>
    <row r="245" s="160" customFormat="1" x14ac:dyDescent="0.2"/>
    <row r="246" s="160" customFormat="1" x14ac:dyDescent="0.2"/>
    <row r="247" s="160" customFormat="1" x14ac:dyDescent="0.2"/>
    <row r="248" s="160" customFormat="1" x14ac:dyDescent="0.2"/>
    <row r="249" s="160" customFormat="1" x14ac:dyDescent="0.2"/>
    <row r="250" s="160" customFormat="1" x14ac:dyDescent="0.2"/>
    <row r="251" s="160" customFormat="1" x14ac:dyDescent="0.2"/>
    <row r="252" s="160" customFormat="1" x14ac:dyDescent="0.2"/>
    <row r="253" s="160" customFormat="1" x14ac:dyDescent="0.2"/>
    <row r="254" s="160" customFormat="1" x14ac:dyDescent="0.2"/>
    <row r="255" s="160" customFormat="1" x14ac:dyDescent="0.2"/>
    <row r="256" s="160" customFormat="1" x14ac:dyDescent="0.2"/>
    <row r="257" s="160" customFormat="1" x14ac:dyDescent="0.2"/>
    <row r="258" s="160" customFormat="1" x14ac:dyDescent="0.2"/>
    <row r="259" s="160" customFormat="1" x14ac:dyDescent="0.2"/>
    <row r="260" s="160" customFormat="1" x14ac:dyDescent="0.2"/>
    <row r="261" s="160" customFormat="1" x14ac:dyDescent="0.2"/>
    <row r="262" s="160" customFormat="1" x14ac:dyDescent="0.2"/>
    <row r="263" s="160" customFormat="1" x14ac:dyDescent="0.2"/>
    <row r="264" s="160" customFormat="1" x14ac:dyDescent="0.2"/>
    <row r="265" s="160" customFormat="1" x14ac:dyDescent="0.2"/>
    <row r="266" s="160" customFormat="1" x14ac:dyDescent="0.2"/>
    <row r="267" s="160" customFormat="1" x14ac:dyDescent="0.2"/>
    <row r="268" s="160" customFormat="1" x14ac:dyDescent="0.2"/>
    <row r="269" s="160" customFormat="1" x14ac:dyDescent="0.2"/>
    <row r="270" s="160" customFormat="1" x14ac:dyDescent="0.2"/>
    <row r="271" s="160" customFormat="1" x14ac:dyDescent="0.2"/>
    <row r="272" s="160" customFormat="1" x14ac:dyDescent="0.2"/>
    <row r="273" s="160" customFormat="1" x14ac:dyDescent="0.2"/>
    <row r="274" s="160" customFormat="1" x14ac:dyDescent="0.2"/>
    <row r="275" s="160" customFormat="1" x14ac:dyDescent="0.2"/>
    <row r="276" s="160" customFormat="1" x14ac:dyDescent="0.2"/>
    <row r="277" s="160" customFormat="1" x14ac:dyDescent="0.2"/>
    <row r="278" s="160" customFormat="1" x14ac:dyDescent="0.2"/>
    <row r="279" s="160" customFormat="1" x14ac:dyDescent="0.2"/>
    <row r="280" s="160" customFormat="1" x14ac:dyDescent="0.2"/>
    <row r="281" s="160" customFormat="1" x14ac:dyDescent="0.2"/>
    <row r="282" s="160" customFormat="1" x14ac:dyDescent="0.2"/>
    <row r="283" s="160" customFormat="1" x14ac:dyDescent="0.2"/>
    <row r="284" s="160" customFormat="1" x14ac:dyDescent="0.2"/>
    <row r="285" s="160" customFormat="1" x14ac:dyDescent="0.2"/>
    <row r="286" s="160" customFormat="1" x14ac:dyDescent="0.2"/>
    <row r="287" s="160" customFormat="1" x14ac:dyDescent="0.2"/>
    <row r="288" s="160" customFormat="1" x14ac:dyDescent="0.2"/>
    <row r="289" s="160" customFormat="1" x14ac:dyDescent="0.2"/>
    <row r="290" s="160" customFormat="1" x14ac:dyDescent="0.2"/>
    <row r="291" s="160" customFormat="1" x14ac:dyDescent="0.2"/>
    <row r="292" s="160" customFormat="1" x14ac:dyDescent="0.2"/>
    <row r="293" s="160" customFormat="1" x14ac:dyDescent="0.2"/>
    <row r="294" s="160" customFormat="1" x14ac:dyDescent="0.2"/>
    <row r="295" s="160" customFormat="1" x14ac:dyDescent="0.2"/>
    <row r="296" s="160" customFormat="1" x14ac:dyDescent="0.2"/>
    <row r="297" s="160" customFormat="1" x14ac:dyDescent="0.2"/>
    <row r="298" s="160" customFormat="1" x14ac:dyDescent="0.2"/>
    <row r="299" s="160" customFormat="1" x14ac:dyDescent="0.2"/>
    <row r="300" s="160" customFormat="1" x14ac:dyDescent="0.2"/>
    <row r="301" s="160" customFormat="1" x14ac:dyDescent="0.2"/>
    <row r="302" s="160" customFormat="1" x14ac:dyDescent="0.2"/>
    <row r="303" s="160" customFormat="1" x14ac:dyDescent="0.2"/>
    <row r="304" s="160" customFormat="1" x14ac:dyDescent="0.2"/>
    <row r="305" s="160" customFormat="1" x14ac:dyDescent="0.2"/>
    <row r="306" s="160" customFormat="1" x14ac:dyDescent="0.2"/>
    <row r="307" s="160" customFormat="1" x14ac:dyDescent="0.2"/>
    <row r="308" s="160" customFormat="1" x14ac:dyDescent="0.2"/>
    <row r="309" s="160" customFormat="1" x14ac:dyDescent="0.2"/>
    <row r="310" s="160" customFormat="1" x14ac:dyDescent="0.2"/>
    <row r="311" s="160" customFormat="1" x14ac:dyDescent="0.2"/>
    <row r="312" s="160" customFormat="1" x14ac:dyDescent="0.2"/>
    <row r="313" s="160" customFormat="1" x14ac:dyDescent="0.2"/>
    <row r="314" s="160" customFormat="1" x14ac:dyDescent="0.2"/>
    <row r="315" s="160" customFormat="1" x14ac:dyDescent="0.2"/>
    <row r="316" s="160" customFormat="1" x14ac:dyDescent="0.2"/>
    <row r="317" s="160" customFormat="1" x14ac:dyDescent="0.2"/>
    <row r="318" s="160" customFormat="1" x14ac:dyDescent="0.2"/>
    <row r="319" s="160" customFormat="1" x14ac:dyDescent="0.2"/>
    <row r="320" s="160" customFormat="1" x14ac:dyDescent="0.2"/>
    <row r="321" s="160" customFormat="1" x14ac:dyDescent="0.2"/>
    <row r="322" s="160" customFormat="1" x14ac:dyDescent="0.2"/>
    <row r="323" s="160" customFormat="1" x14ac:dyDescent="0.2"/>
    <row r="324" s="160" customFormat="1" x14ac:dyDescent="0.2"/>
    <row r="325" s="160" customFormat="1" x14ac:dyDescent="0.2"/>
    <row r="326" s="160" customFormat="1" x14ac:dyDescent="0.2"/>
    <row r="327" s="160" customFormat="1" x14ac:dyDescent="0.2"/>
    <row r="328" s="160" customFormat="1" x14ac:dyDescent="0.2"/>
    <row r="329" s="160" customFormat="1" x14ac:dyDescent="0.2"/>
    <row r="330" s="160" customFormat="1" x14ac:dyDescent="0.2"/>
    <row r="331" s="160" customFormat="1" x14ac:dyDescent="0.2"/>
    <row r="332" s="160" customFormat="1" x14ac:dyDescent="0.2"/>
    <row r="333" s="160" customFormat="1" x14ac:dyDescent="0.2"/>
    <row r="334" s="160" customFormat="1" x14ac:dyDescent="0.2"/>
    <row r="335" s="160" customFormat="1" x14ac:dyDescent="0.2"/>
    <row r="336" s="160" customFormat="1" x14ac:dyDescent="0.2"/>
    <row r="337" s="160" customFormat="1" x14ac:dyDescent="0.2"/>
    <row r="338" s="160" customFormat="1" x14ac:dyDescent="0.2"/>
    <row r="339" s="160" customFormat="1" x14ac:dyDescent="0.2"/>
    <row r="340" s="160" customFormat="1" x14ac:dyDescent="0.2"/>
    <row r="341" s="160" customFormat="1" x14ac:dyDescent="0.2"/>
    <row r="342" s="161" customFormat="1" x14ac:dyDescent="0.2"/>
    <row r="343" s="161" customFormat="1" x14ac:dyDescent="0.2"/>
    <row r="344" s="161" customFormat="1" x14ac:dyDescent="0.2"/>
    <row r="345" s="161" customFormat="1" x14ac:dyDescent="0.2"/>
    <row r="346" s="161" customFormat="1" x14ac:dyDescent="0.2"/>
    <row r="347" s="161" customFormat="1" x14ac:dyDescent="0.2"/>
    <row r="348" s="161" customFormat="1" x14ac:dyDescent="0.2"/>
    <row r="349" s="161" customFormat="1" x14ac:dyDescent="0.2"/>
    <row r="350" s="161" customFormat="1" x14ac:dyDescent="0.2"/>
    <row r="351" s="161" customFormat="1" x14ac:dyDescent="0.2"/>
    <row r="352" s="161" customFormat="1" x14ac:dyDescent="0.2"/>
    <row r="353" s="161" customFormat="1" x14ac:dyDescent="0.2"/>
    <row r="354" s="161" customFormat="1" x14ac:dyDescent="0.2"/>
    <row r="355" s="161" customFormat="1" x14ac:dyDescent="0.2"/>
    <row r="356" s="161" customFormat="1" x14ac:dyDescent="0.2"/>
    <row r="357" s="161" customFormat="1" x14ac:dyDescent="0.2"/>
    <row r="358" s="161" customFormat="1" x14ac:dyDescent="0.2"/>
    <row r="359" s="161" customFormat="1" x14ac:dyDescent="0.2"/>
    <row r="360" s="161" customFormat="1" x14ac:dyDescent="0.2"/>
    <row r="361" s="161" customFormat="1" x14ac:dyDescent="0.2"/>
    <row r="362" s="161" customFormat="1" x14ac:dyDescent="0.2"/>
    <row r="363" s="161" customFormat="1" x14ac:dyDescent="0.2"/>
    <row r="364" s="161" customFormat="1" x14ac:dyDescent="0.2"/>
    <row r="365" s="161" customFormat="1" x14ac:dyDescent="0.2"/>
    <row r="366" s="161" customFormat="1" x14ac:dyDescent="0.2"/>
    <row r="367" s="161" customFormat="1" x14ac:dyDescent="0.2"/>
    <row r="368" s="161" customFormat="1" x14ac:dyDescent="0.2"/>
    <row r="369" s="161" customFormat="1" x14ac:dyDescent="0.2"/>
    <row r="370" s="161" customFormat="1" x14ac:dyDescent="0.2"/>
    <row r="371" s="161" customFormat="1" x14ac:dyDescent="0.2"/>
    <row r="372" s="161" customFormat="1" x14ac:dyDescent="0.2"/>
    <row r="373" s="161" customFormat="1" x14ac:dyDescent="0.2"/>
    <row r="374" s="161" customFormat="1" x14ac:dyDescent="0.2"/>
    <row r="375" s="161" customFormat="1" x14ac:dyDescent="0.2"/>
    <row r="376" s="161" customFormat="1" x14ac:dyDescent="0.2"/>
    <row r="377" s="161" customFormat="1" x14ac:dyDescent="0.2"/>
    <row r="378" s="161" customFormat="1" x14ac:dyDescent="0.2"/>
    <row r="379" s="161" customFormat="1" x14ac:dyDescent="0.2"/>
    <row r="380" s="161" customFormat="1" x14ac:dyDescent="0.2"/>
    <row r="381" s="161" customFormat="1" x14ac:dyDescent="0.2"/>
    <row r="382" s="161" customFormat="1" x14ac:dyDescent="0.2"/>
    <row r="383" s="161" customFormat="1" x14ac:dyDescent="0.2"/>
    <row r="384" s="161" customFormat="1" x14ac:dyDescent="0.2"/>
    <row r="385" s="161" customFormat="1" x14ac:dyDescent="0.2"/>
    <row r="386" s="161" customFormat="1" x14ac:dyDescent="0.2"/>
    <row r="387" s="161" customFormat="1" x14ac:dyDescent="0.2"/>
    <row r="388" s="161" customFormat="1" x14ac:dyDescent="0.2"/>
    <row r="389" s="161" customFormat="1" x14ac:dyDescent="0.2"/>
    <row r="390" s="161" customFormat="1" x14ac:dyDescent="0.2"/>
    <row r="391" s="161" customFormat="1" x14ac:dyDescent="0.2"/>
    <row r="392" s="161" customFormat="1" x14ac:dyDescent="0.2"/>
    <row r="393" s="161" customFormat="1" x14ac:dyDescent="0.2"/>
    <row r="394" s="161" customFormat="1" x14ac:dyDescent="0.2"/>
    <row r="395" s="161" customFormat="1" x14ac:dyDescent="0.2"/>
    <row r="396" s="161" customFormat="1" x14ac:dyDescent="0.2"/>
    <row r="397" s="161" customFormat="1" x14ac:dyDescent="0.2"/>
    <row r="398" s="161" customFormat="1" x14ac:dyDescent="0.2"/>
    <row r="399" s="161" customFormat="1" x14ac:dyDescent="0.2"/>
    <row r="400" s="161" customFormat="1" x14ac:dyDescent="0.2"/>
    <row r="401" s="161" customFormat="1" x14ac:dyDescent="0.2"/>
    <row r="402" s="161" customFormat="1" x14ac:dyDescent="0.2"/>
    <row r="403" s="161" customFormat="1" x14ac:dyDescent="0.2"/>
    <row r="404" s="161" customFormat="1" x14ac:dyDescent="0.2"/>
    <row r="405" s="161" customFormat="1" x14ac:dyDescent="0.2"/>
    <row r="406" s="161" customFormat="1" x14ac:dyDescent="0.2"/>
    <row r="407" s="161" customFormat="1" x14ac:dyDescent="0.2"/>
    <row r="408" s="161" customFormat="1" x14ac:dyDescent="0.2"/>
    <row r="409" s="161" customFormat="1" x14ac:dyDescent="0.2"/>
    <row r="410" s="161" customFormat="1" x14ac:dyDescent="0.2"/>
    <row r="411" s="161" customFormat="1" x14ac:dyDescent="0.2"/>
    <row r="412" s="161" customFormat="1" x14ac:dyDescent="0.2"/>
    <row r="413" s="161" customFormat="1" x14ac:dyDescent="0.2"/>
    <row r="414" s="161" customFormat="1" x14ac:dyDescent="0.2"/>
    <row r="415" s="161" customFormat="1" x14ac:dyDescent="0.2"/>
    <row r="416" s="161" customFormat="1" x14ac:dyDescent="0.2"/>
    <row r="417" s="161" customFormat="1" x14ac:dyDescent="0.2"/>
    <row r="418" s="161" customFormat="1" x14ac:dyDescent="0.2"/>
    <row r="419" s="161" customFormat="1" x14ac:dyDescent="0.2"/>
    <row r="420" s="161" customFormat="1" x14ac:dyDescent="0.2"/>
    <row r="421" s="161" customFormat="1" x14ac:dyDescent="0.2"/>
    <row r="422" s="161" customFormat="1" x14ac:dyDescent="0.2"/>
    <row r="423" s="161" customFormat="1" x14ac:dyDescent="0.2"/>
    <row r="424" s="161" customFormat="1" x14ac:dyDescent="0.2"/>
    <row r="425" s="161" customFormat="1" x14ac:dyDescent="0.2"/>
    <row r="426" s="161" customFormat="1" x14ac:dyDescent="0.2"/>
    <row r="427" s="161" customFormat="1" x14ac:dyDescent="0.2"/>
    <row r="428" s="161" customFormat="1" x14ac:dyDescent="0.2"/>
    <row r="429" s="161" customFormat="1" x14ac:dyDescent="0.2"/>
    <row r="430" s="161" customFormat="1" x14ac:dyDescent="0.2"/>
    <row r="431" s="161" customFormat="1" x14ac:dyDescent="0.2"/>
    <row r="432" s="161" customFormat="1" x14ac:dyDescent="0.2"/>
    <row r="433" s="161" customFormat="1" x14ac:dyDescent="0.2"/>
    <row r="434" s="161" customFormat="1" x14ac:dyDescent="0.2"/>
    <row r="435" s="161" customFormat="1" x14ac:dyDescent="0.2"/>
    <row r="436" s="161" customFormat="1" x14ac:dyDescent="0.2"/>
    <row r="437" s="161" customFormat="1" x14ac:dyDescent="0.2"/>
    <row r="438" s="161" customFormat="1" x14ac:dyDescent="0.2"/>
    <row r="439" s="161" customFormat="1" x14ac:dyDescent="0.2"/>
    <row r="440" s="161" customFormat="1" x14ac:dyDescent="0.2"/>
    <row r="441" s="161" customFormat="1" x14ac:dyDescent="0.2"/>
    <row r="442" s="161" customFormat="1" x14ac:dyDescent="0.2"/>
    <row r="443" s="161" customFormat="1" x14ac:dyDescent="0.2"/>
    <row r="444" s="161" customFormat="1" x14ac:dyDescent="0.2"/>
    <row r="445" s="161" customFormat="1" x14ac:dyDescent="0.2"/>
    <row r="446" s="161" customFormat="1" x14ac:dyDescent="0.2"/>
    <row r="447" s="161" customFormat="1" x14ac:dyDescent="0.2"/>
    <row r="448" s="161" customFormat="1" x14ac:dyDescent="0.2"/>
    <row r="449" s="161" customFormat="1" x14ac:dyDescent="0.2"/>
    <row r="450" s="161" customFormat="1" x14ac:dyDescent="0.2"/>
    <row r="451" s="161" customFormat="1" x14ac:dyDescent="0.2"/>
    <row r="452" s="161" customFormat="1" x14ac:dyDescent="0.2"/>
    <row r="453" s="161" customFormat="1" x14ac:dyDescent="0.2"/>
    <row r="454" s="161" customFormat="1" x14ac:dyDescent="0.2"/>
    <row r="455" s="161" customFormat="1" x14ac:dyDescent="0.2"/>
    <row r="456" s="161" customFormat="1" x14ac:dyDescent="0.2"/>
    <row r="457" s="161" customFormat="1" x14ac:dyDescent="0.2"/>
    <row r="458" s="161" customFormat="1" x14ac:dyDescent="0.2"/>
    <row r="459" s="161" customFormat="1" x14ac:dyDescent="0.2"/>
    <row r="460" s="161" customFormat="1" x14ac:dyDescent="0.2"/>
    <row r="461" s="161" customFormat="1" x14ac:dyDescent="0.2"/>
    <row r="462" s="161" customFormat="1" x14ac:dyDescent="0.2"/>
    <row r="463" s="161" customFormat="1" x14ac:dyDescent="0.2"/>
    <row r="464" s="161" customFormat="1" x14ac:dyDescent="0.2"/>
    <row r="465" s="161" customFormat="1" x14ac:dyDescent="0.2"/>
    <row r="466" s="161" customFormat="1" x14ac:dyDescent="0.2"/>
    <row r="467" s="161" customFormat="1" x14ac:dyDescent="0.2"/>
    <row r="468" s="161" customFormat="1" x14ac:dyDescent="0.2"/>
    <row r="469" s="161" customFormat="1" x14ac:dyDescent="0.2"/>
    <row r="470" s="161" customFormat="1" x14ac:dyDescent="0.2"/>
    <row r="471" s="161" customFormat="1" x14ac:dyDescent="0.2"/>
    <row r="472" s="161" customFormat="1" x14ac:dyDescent="0.2"/>
    <row r="473" s="161" customFormat="1" x14ac:dyDescent="0.2"/>
    <row r="474" s="161" customFormat="1" x14ac:dyDescent="0.2"/>
    <row r="475" s="161" customFormat="1" x14ac:dyDescent="0.2"/>
    <row r="476" s="161" customFormat="1" x14ac:dyDescent="0.2"/>
    <row r="477" s="161" customFormat="1" x14ac:dyDescent="0.2"/>
    <row r="478" s="161" customFormat="1" x14ac:dyDescent="0.2"/>
    <row r="479" s="161" customFormat="1" x14ac:dyDescent="0.2"/>
    <row r="480" s="161" customFormat="1" x14ac:dyDescent="0.2"/>
    <row r="481" s="161" customFormat="1" x14ac:dyDescent="0.2"/>
    <row r="482" s="161" customFormat="1" x14ac:dyDescent="0.2"/>
    <row r="483" s="161" customFormat="1" x14ac:dyDescent="0.2"/>
    <row r="484" s="161" customFormat="1" x14ac:dyDescent="0.2"/>
    <row r="485" s="161" customFormat="1" x14ac:dyDescent="0.2"/>
    <row r="486" s="161" customFormat="1" x14ac:dyDescent="0.2"/>
    <row r="487" s="161" customFormat="1" x14ac:dyDescent="0.2"/>
    <row r="488" s="161" customFormat="1" x14ac:dyDescent="0.2"/>
    <row r="489" s="161" customFormat="1" x14ac:dyDescent="0.2"/>
    <row r="490" s="161" customFormat="1" x14ac:dyDescent="0.2"/>
    <row r="491" s="161" customFormat="1" x14ac:dyDescent="0.2"/>
    <row r="492" s="161" customFormat="1" x14ac:dyDescent="0.2"/>
    <row r="493" s="161" customFormat="1" x14ac:dyDescent="0.2"/>
    <row r="494" s="161" customFormat="1" x14ac:dyDescent="0.2"/>
    <row r="495" s="161" customFormat="1" x14ac:dyDescent="0.2"/>
    <row r="496" s="161" customFormat="1" x14ac:dyDescent="0.2"/>
    <row r="497" s="161" customFormat="1" x14ac:dyDescent="0.2"/>
    <row r="498" s="161" customFormat="1" x14ac:dyDescent="0.2"/>
    <row r="499" s="161" customFormat="1" x14ac:dyDescent="0.2"/>
    <row r="500" s="161" customFormat="1" x14ac:dyDescent="0.2"/>
    <row r="501" s="161" customFormat="1" x14ac:dyDescent="0.2"/>
    <row r="502" s="161" customFormat="1" x14ac:dyDescent="0.2"/>
    <row r="503" s="161" customFormat="1" x14ac:dyDescent="0.2"/>
    <row r="504" s="161" customFormat="1" x14ac:dyDescent="0.2"/>
    <row r="505" s="161" customFormat="1" x14ac:dyDescent="0.2"/>
    <row r="506" s="161" customFormat="1" x14ac:dyDescent="0.2"/>
    <row r="507" s="161" customFormat="1" x14ac:dyDescent="0.2"/>
    <row r="508" s="161" customFormat="1" x14ac:dyDescent="0.2"/>
    <row r="509" s="161" customFormat="1" x14ac:dyDescent="0.2"/>
    <row r="510" s="161" customFormat="1" x14ac:dyDescent="0.2"/>
    <row r="511" s="161" customFormat="1" x14ac:dyDescent="0.2"/>
    <row r="512" s="161" customFormat="1" x14ac:dyDescent="0.2"/>
    <row r="513" s="161" customFormat="1" x14ac:dyDescent="0.2"/>
    <row r="514" s="161" customFormat="1" x14ac:dyDescent="0.2"/>
    <row r="515" s="161" customFormat="1" x14ac:dyDescent="0.2"/>
    <row r="516" s="161" customFormat="1" x14ac:dyDescent="0.2"/>
    <row r="517" s="161" customFormat="1" x14ac:dyDescent="0.2"/>
    <row r="518" s="161" customFormat="1" x14ac:dyDescent="0.2"/>
    <row r="519" s="161" customFormat="1" x14ac:dyDescent="0.2"/>
    <row r="520" s="161" customFormat="1" x14ac:dyDescent="0.2"/>
    <row r="521" s="161" customFormat="1" x14ac:dyDescent="0.2"/>
    <row r="522" s="161" customFormat="1" x14ac:dyDescent="0.2"/>
    <row r="523" s="161" customFormat="1" x14ac:dyDescent="0.2"/>
    <row r="524" s="161" customFormat="1" x14ac:dyDescent="0.2"/>
    <row r="525" s="161" customFormat="1" x14ac:dyDescent="0.2"/>
    <row r="526" s="161" customFormat="1" x14ac:dyDescent="0.2"/>
    <row r="527" s="161" customFormat="1" x14ac:dyDescent="0.2"/>
    <row r="528" s="161" customFormat="1" x14ac:dyDescent="0.2"/>
    <row r="529" s="161" customFormat="1" x14ac:dyDescent="0.2"/>
    <row r="530" s="161" customFormat="1" x14ac:dyDescent="0.2"/>
    <row r="531" s="161" customFormat="1" x14ac:dyDescent="0.2"/>
    <row r="532" s="161" customFormat="1" x14ac:dyDescent="0.2"/>
    <row r="533" s="161" customFormat="1" x14ac:dyDescent="0.2"/>
    <row r="534" s="161" customFormat="1" x14ac:dyDescent="0.2"/>
    <row r="535" s="161" customFormat="1" x14ac:dyDescent="0.2"/>
    <row r="536" s="161" customFormat="1" x14ac:dyDescent="0.2"/>
    <row r="537" s="161" customFormat="1" x14ac:dyDescent="0.2"/>
    <row r="538" s="161" customFormat="1" x14ac:dyDescent="0.2"/>
    <row r="539" s="161" customFormat="1" x14ac:dyDescent="0.2"/>
    <row r="540" s="161" customFormat="1" x14ac:dyDescent="0.2"/>
    <row r="541" s="161" customFormat="1" x14ac:dyDescent="0.2"/>
    <row r="542" s="161" customFormat="1" x14ac:dyDescent="0.2"/>
    <row r="543" s="161" customFormat="1" x14ac:dyDescent="0.2"/>
    <row r="544" s="161" customFormat="1" x14ac:dyDescent="0.2"/>
    <row r="545" s="161" customFormat="1" x14ac:dyDescent="0.2"/>
    <row r="546" s="161" customFormat="1" x14ac:dyDescent="0.2"/>
    <row r="547" s="161" customFormat="1" x14ac:dyDescent="0.2"/>
    <row r="548" s="161" customFormat="1" x14ac:dyDescent="0.2"/>
    <row r="549" s="161" customFormat="1" x14ac:dyDescent="0.2"/>
    <row r="550" s="161" customFormat="1" x14ac:dyDescent="0.2"/>
    <row r="551" s="161" customFormat="1" x14ac:dyDescent="0.2"/>
    <row r="552" s="161" customFormat="1" x14ac:dyDescent="0.2"/>
    <row r="553" s="161" customFormat="1" x14ac:dyDescent="0.2"/>
    <row r="554" s="161" customFormat="1" x14ac:dyDescent="0.2"/>
    <row r="555" s="161" customFormat="1" x14ac:dyDescent="0.2"/>
    <row r="556" s="161" customFormat="1" x14ac:dyDescent="0.2"/>
    <row r="557" s="161" customFormat="1" x14ac:dyDescent="0.2"/>
    <row r="558" s="161" customFormat="1" x14ac:dyDescent="0.2"/>
    <row r="559" s="161" customFormat="1" x14ac:dyDescent="0.2"/>
    <row r="560" s="161" customFormat="1" x14ac:dyDescent="0.2"/>
    <row r="561" s="161" customFormat="1" x14ac:dyDescent="0.2"/>
    <row r="562" s="161" customFormat="1" x14ac:dyDescent="0.2"/>
    <row r="563" s="161" customFormat="1" x14ac:dyDescent="0.2"/>
    <row r="564" s="161" customFormat="1" x14ac:dyDescent="0.2"/>
    <row r="565" s="161" customFormat="1" x14ac:dyDescent="0.2"/>
    <row r="566" s="161" customFormat="1" x14ac:dyDescent="0.2"/>
    <row r="567" s="161" customFormat="1" x14ac:dyDescent="0.2"/>
    <row r="568" s="161" customFormat="1" x14ac:dyDescent="0.2"/>
    <row r="569" s="161" customFormat="1" x14ac:dyDescent="0.2"/>
    <row r="570" s="161" customFormat="1" x14ac:dyDescent="0.2"/>
    <row r="571" s="161" customFormat="1" x14ac:dyDescent="0.2"/>
    <row r="572" s="161" customFormat="1" x14ac:dyDescent="0.2"/>
    <row r="573" s="161" customFormat="1" x14ac:dyDescent="0.2"/>
    <row r="574" s="161" customFormat="1" x14ac:dyDescent="0.2"/>
    <row r="575" s="161" customFormat="1" x14ac:dyDescent="0.2"/>
    <row r="576" s="161" customFormat="1" x14ac:dyDescent="0.2"/>
    <row r="577" spans="11:101" s="161" customFormat="1" x14ac:dyDescent="0.2"/>
    <row r="578" spans="11:101" s="161" customFormat="1" x14ac:dyDescent="0.2"/>
    <row r="579" spans="11:101" s="161" customFormat="1" x14ac:dyDescent="0.2"/>
    <row r="580" spans="11:101" s="161" customFormat="1" x14ac:dyDescent="0.2"/>
    <row r="581" spans="11:101" s="161" customFormat="1" x14ac:dyDescent="0.2"/>
    <row r="582" spans="11:101" s="161" customFormat="1" x14ac:dyDescent="0.2"/>
    <row r="583" spans="11:101" s="161" customFormat="1" x14ac:dyDescent="0.2"/>
    <row r="584" spans="11:101" s="161" customFormat="1" x14ac:dyDescent="0.2"/>
    <row r="585" spans="11:101" s="161" customFormat="1" x14ac:dyDescent="0.2"/>
    <row r="586" spans="11:101" s="161" customFormat="1" x14ac:dyDescent="0.2"/>
    <row r="587" spans="11:101" s="161" customFormat="1" x14ac:dyDescent="0.2"/>
    <row r="588" spans="11:101" s="161" customFormat="1" x14ac:dyDescent="0.2"/>
    <row r="589" spans="11:101" s="161" customFormat="1" x14ac:dyDescent="0.2"/>
    <row r="590" spans="11:101" s="158" customFormat="1" x14ac:dyDescent="0.2">
      <c r="K590" s="161"/>
      <c r="L590" s="161"/>
      <c r="M590" s="161"/>
      <c r="N590" s="161"/>
      <c r="O590" s="161"/>
      <c r="P590" s="161"/>
      <c r="Q590" s="161"/>
      <c r="R590" s="161"/>
      <c r="S590" s="161"/>
      <c r="T590" s="161"/>
      <c r="U590" s="161"/>
      <c r="V590" s="161"/>
      <c r="W590" s="161"/>
      <c r="X590" s="161"/>
      <c r="Y590" s="161"/>
      <c r="Z590" s="161"/>
      <c r="AA590" s="161"/>
      <c r="AB590" s="161"/>
      <c r="AC590" s="161"/>
      <c r="AD590" s="161"/>
      <c r="AE590" s="161"/>
      <c r="AF590" s="161"/>
      <c r="AG590" s="161"/>
      <c r="AH590" s="161"/>
      <c r="AI590" s="161"/>
      <c r="AJ590" s="161"/>
      <c r="AK590" s="161"/>
      <c r="AL590" s="161"/>
      <c r="AM590" s="161"/>
      <c r="AN590" s="161"/>
      <c r="AO590" s="161"/>
      <c r="AP590" s="161"/>
      <c r="AQ590" s="161"/>
      <c r="AR590" s="161"/>
      <c r="AS590" s="161"/>
      <c r="AT590" s="161"/>
      <c r="AU590" s="161"/>
      <c r="AV590" s="161"/>
      <c r="AW590" s="161"/>
      <c r="AX590" s="161"/>
      <c r="AY590" s="161"/>
      <c r="AZ590" s="161"/>
      <c r="BA590" s="161"/>
      <c r="BB590" s="161"/>
      <c r="BC590" s="161"/>
      <c r="BD590" s="161"/>
      <c r="BE590" s="161"/>
      <c r="BF590" s="161"/>
      <c r="BG590" s="161"/>
      <c r="BH590" s="161"/>
      <c r="BI590" s="161"/>
      <c r="BJ590" s="161"/>
      <c r="BK590" s="161"/>
      <c r="BL590" s="161"/>
      <c r="BM590" s="161"/>
      <c r="BN590" s="161"/>
      <c r="BO590" s="161"/>
      <c r="BP590" s="161"/>
      <c r="BQ590" s="161"/>
      <c r="BR590" s="161"/>
      <c r="BS590" s="161"/>
      <c r="BT590" s="161"/>
      <c r="BU590" s="161"/>
      <c r="BV590" s="161"/>
      <c r="BW590" s="161"/>
      <c r="BX590" s="161"/>
      <c r="BY590" s="161"/>
      <c r="BZ590" s="161"/>
      <c r="CA590" s="161"/>
      <c r="CB590" s="161"/>
      <c r="CC590" s="161"/>
      <c r="CD590" s="161"/>
      <c r="CE590" s="161"/>
      <c r="CF590" s="161"/>
      <c r="CG590" s="161"/>
      <c r="CH590" s="161"/>
      <c r="CI590" s="161"/>
      <c r="CJ590" s="161"/>
      <c r="CK590" s="161"/>
      <c r="CL590" s="161"/>
      <c r="CM590" s="161"/>
      <c r="CN590" s="161"/>
      <c r="CO590" s="161"/>
      <c r="CP590" s="161"/>
      <c r="CQ590" s="161"/>
      <c r="CR590" s="161"/>
      <c r="CS590" s="161"/>
      <c r="CT590" s="161"/>
      <c r="CU590" s="161"/>
      <c r="CV590" s="161"/>
      <c r="CW590" s="161"/>
    </row>
    <row r="591" spans="11:101" s="158" customFormat="1" x14ac:dyDescent="0.2">
      <c r="K591" s="161"/>
      <c r="L591" s="161"/>
      <c r="M591" s="161"/>
      <c r="N591" s="161"/>
      <c r="O591" s="161"/>
      <c r="P591" s="161"/>
      <c r="Q591" s="161"/>
      <c r="R591" s="161"/>
      <c r="S591" s="161"/>
      <c r="T591" s="161"/>
      <c r="U591" s="161"/>
      <c r="V591" s="161"/>
      <c r="W591" s="161"/>
      <c r="X591" s="161"/>
      <c r="Y591" s="161"/>
      <c r="Z591" s="161"/>
      <c r="AA591" s="161"/>
      <c r="AB591" s="161"/>
      <c r="AC591" s="161"/>
      <c r="AD591" s="161"/>
      <c r="AE591" s="161"/>
      <c r="AF591" s="161"/>
      <c r="AG591" s="161"/>
      <c r="AH591" s="161"/>
      <c r="AI591" s="161"/>
      <c r="AJ591" s="161"/>
      <c r="AK591" s="161"/>
      <c r="AL591" s="161"/>
      <c r="AM591" s="161"/>
      <c r="AN591" s="161"/>
      <c r="AO591" s="161"/>
      <c r="AP591" s="161"/>
      <c r="AQ591" s="161"/>
      <c r="AR591" s="161"/>
      <c r="AS591" s="161"/>
      <c r="AT591" s="161"/>
      <c r="AU591" s="161"/>
      <c r="AV591" s="161"/>
      <c r="AW591" s="161"/>
      <c r="AX591" s="161"/>
      <c r="AY591" s="161"/>
      <c r="AZ591" s="161"/>
      <c r="BA591" s="161"/>
      <c r="BB591" s="161"/>
      <c r="BC591" s="161"/>
      <c r="BD591" s="161"/>
      <c r="BE591" s="161"/>
      <c r="BF591" s="161"/>
      <c r="BG591" s="161"/>
      <c r="BH591" s="161"/>
      <c r="BI591" s="161"/>
      <c r="BJ591" s="161"/>
      <c r="BK591" s="161"/>
      <c r="BL591" s="161"/>
      <c r="BM591" s="161"/>
      <c r="BN591" s="161"/>
      <c r="BO591" s="161"/>
      <c r="BP591" s="161"/>
      <c r="BQ591" s="161"/>
      <c r="BR591" s="161"/>
      <c r="BS591" s="161"/>
      <c r="BT591" s="161"/>
      <c r="BU591" s="161"/>
      <c r="BV591" s="161"/>
      <c r="BW591" s="161"/>
      <c r="BX591" s="161"/>
      <c r="BY591" s="161"/>
      <c r="BZ591" s="161"/>
      <c r="CA591" s="161"/>
      <c r="CB591" s="161"/>
      <c r="CC591" s="161"/>
      <c r="CD591" s="161"/>
      <c r="CE591" s="161"/>
      <c r="CF591" s="161"/>
      <c r="CG591" s="161"/>
      <c r="CH591" s="161"/>
      <c r="CI591" s="161"/>
      <c r="CJ591" s="161"/>
      <c r="CK591" s="161"/>
      <c r="CL591" s="161"/>
      <c r="CM591" s="161"/>
      <c r="CN591" s="161"/>
      <c r="CO591" s="161"/>
      <c r="CP591" s="161"/>
      <c r="CQ591" s="161"/>
      <c r="CR591" s="161"/>
      <c r="CS591" s="161"/>
      <c r="CT591" s="161"/>
      <c r="CU591" s="161"/>
      <c r="CV591" s="161"/>
      <c r="CW591" s="161"/>
    </row>
    <row r="592" spans="11:101" s="158" customFormat="1" x14ac:dyDescent="0.2">
      <c r="K592" s="161"/>
      <c r="L592" s="161"/>
      <c r="M592" s="161"/>
      <c r="N592" s="161"/>
      <c r="O592" s="161"/>
      <c r="P592" s="161"/>
      <c r="Q592" s="161"/>
      <c r="R592" s="161"/>
      <c r="S592" s="161"/>
      <c r="T592" s="161"/>
      <c r="U592" s="161"/>
      <c r="V592" s="161"/>
      <c r="W592" s="161"/>
      <c r="X592" s="161"/>
      <c r="Y592" s="161"/>
      <c r="Z592" s="161"/>
      <c r="AA592" s="161"/>
      <c r="AB592" s="161"/>
      <c r="AC592" s="161"/>
      <c r="AD592" s="161"/>
      <c r="AE592" s="161"/>
      <c r="AF592" s="161"/>
      <c r="AG592" s="161"/>
      <c r="AH592" s="161"/>
      <c r="AI592" s="161"/>
      <c r="AJ592" s="161"/>
      <c r="AK592" s="161"/>
      <c r="AL592" s="161"/>
      <c r="AM592" s="161"/>
      <c r="AN592" s="161"/>
      <c r="AO592" s="161"/>
      <c r="AP592" s="161"/>
      <c r="AQ592" s="161"/>
      <c r="AR592" s="161"/>
      <c r="AS592" s="161"/>
      <c r="AT592" s="161"/>
      <c r="AU592" s="161"/>
      <c r="AV592" s="161"/>
      <c r="AW592" s="161"/>
      <c r="AX592" s="161"/>
      <c r="AY592" s="161"/>
      <c r="AZ592" s="161"/>
      <c r="BA592" s="161"/>
      <c r="BB592" s="161"/>
      <c r="BC592" s="161"/>
      <c r="BD592" s="161"/>
      <c r="BE592" s="161"/>
      <c r="BF592" s="161"/>
      <c r="BG592" s="161"/>
      <c r="BH592" s="161"/>
      <c r="BI592" s="161"/>
      <c r="BJ592" s="161"/>
      <c r="BK592" s="161"/>
      <c r="BL592" s="161"/>
      <c r="BM592" s="161"/>
      <c r="BN592" s="161"/>
      <c r="BO592" s="161"/>
      <c r="BP592" s="161"/>
      <c r="BQ592" s="161"/>
      <c r="BR592" s="161"/>
      <c r="BS592" s="161"/>
      <c r="BT592" s="161"/>
      <c r="BU592" s="161"/>
      <c r="BV592" s="161"/>
      <c r="BW592" s="161"/>
      <c r="BX592" s="161"/>
      <c r="BY592" s="161"/>
      <c r="BZ592" s="161"/>
      <c r="CA592" s="161"/>
      <c r="CB592" s="161"/>
      <c r="CC592" s="161"/>
      <c r="CD592" s="161"/>
      <c r="CE592" s="161"/>
      <c r="CF592" s="161"/>
      <c r="CG592" s="161"/>
      <c r="CH592" s="161"/>
      <c r="CI592" s="161"/>
      <c r="CJ592" s="161"/>
      <c r="CK592" s="161"/>
      <c r="CL592" s="161"/>
      <c r="CM592" s="161"/>
      <c r="CN592" s="161"/>
      <c r="CO592" s="161"/>
      <c r="CP592" s="161"/>
      <c r="CQ592" s="161"/>
      <c r="CR592" s="161"/>
      <c r="CS592" s="161"/>
      <c r="CT592" s="161"/>
      <c r="CU592" s="161"/>
      <c r="CV592" s="161"/>
      <c r="CW592" s="161"/>
    </row>
    <row r="593" spans="11:101" s="158" customFormat="1" x14ac:dyDescent="0.2">
      <c r="K593" s="161"/>
      <c r="L593" s="161"/>
      <c r="M593" s="161"/>
      <c r="N593" s="161"/>
      <c r="O593" s="161"/>
      <c r="P593" s="161"/>
      <c r="Q593" s="161"/>
      <c r="R593" s="161"/>
      <c r="S593" s="161"/>
      <c r="T593" s="161"/>
      <c r="U593" s="161"/>
      <c r="V593" s="161"/>
      <c r="W593" s="161"/>
      <c r="X593" s="161"/>
      <c r="Y593" s="161"/>
      <c r="Z593" s="161"/>
      <c r="AA593" s="161"/>
      <c r="AB593" s="161"/>
      <c r="AC593" s="161"/>
      <c r="AD593" s="161"/>
      <c r="AE593" s="161"/>
      <c r="AF593" s="161"/>
      <c r="AG593" s="161"/>
      <c r="AH593" s="161"/>
      <c r="AI593" s="161"/>
      <c r="AJ593" s="161"/>
      <c r="AK593" s="161"/>
      <c r="AL593" s="161"/>
      <c r="AM593" s="161"/>
      <c r="AN593" s="161"/>
      <c r="AO593" s="161"/>
      <c r="AP593" s="161"/>
      <c r="AQ593" s="161"/>
      <c r="AR593" s="161"/>
      <c r="AS593" s="161"/>
      <c r="AT593" s="161"/>
      <c r="AU593" s="161"/>
      <c r="AV593" s="161"/>
      <c r="AW593" s="161"/>
      <c r="AX593" s="161"/>
      <c r="AY593" s="161"/>
      <c r="AZ593" s="161"/>
      <c r="BA593" s="161"/>
      <c r="BB593" s="161"/>
      <c r="BC593" s="161"/>
      <c r="BD593" s="161"/>
      <c r="BE593" s="161"/>
      <c r="BF593" s="161"/>
      <c r="BG593" s="161"/>
      <c r="BH593" s="161"/>
      <c r="BI593" s="161"/>
      <c r="BJ593" s="161"/>
      <c r="BK593" s="161"/>
      <c r="BL593" s="161"/>
      <c r="BM593" s="161"/>
      <c r="BN593" s="161"/>
      <c r="BO593" s="161"/>
      <c r="BP593" s="161"/>
      <c r="BQ593" s="161"/>
      <c r="BR593" s="161"/>
      <c r="BS593" s="161"/>
      <c r="BT593" s="161"/>
      <c r="BU593" s="161"/>
      <c r="BV593" s="161"/>
      <c r="BW593" s="161"/>
      <c r="BX593" s="161"/>
      <c r="BY593" s="161"/>
      <c r="BZ593" s="161"/>
      <c r="CA593" s="161"/>
      <c r="CB593" s="161"/>
      <c r="CC593" s="161"/>
      <c r="CD593" s="161"/>
      <c r="CE593" s="161"/>
      <c r="CF593" s="161"/>
      <c r="CG593" s="161"/>
      <c r="CH593" s="161"/>
      <c r="CI593" s="161"/>
      <c r="CJ593" s="161"/>
      <c r="CK593" s="161"/>
      <c r="CL593" s="161"/>
      <c r="CM593" s="161"/>
      <c r="CN593" s="161"/>
      <c r="CO593" s="161"/>
      <c r="CP593" s="161"/>
      <c r="CQ593" s="161"/>
      <c r="CR593" s="161"/>
      <c r="CS593" s="161"/>
      <c r="CT593" s="161"/>
      <c r="CU593" s="161"/>
      <c r="CV593" s="161"/>
      <c r="CW593" s="161"/>
    </row>
    <row r="594" spans="11:101" s="158" customFormat="1" x14ac:dyDescent="0.2">
      <c r="K594" s="161"/>
      <c r="L594" s="161"/>
      <c r="M594" s="161"/>
      <c r="N594" s="161"/>
      <c r="O594" s="161"/>
      <c r="P594" s="161"/>
      <c r="Q594" s="161"/>
      <c r="R594" s="161"/>
      <c r="S594" s="161"/>
      <c r="T594" s="161"/>
      <c r="U594" s="161"/>
      <c r="V594" s="161"/>
      <c r="W594" s="161"/>
      <c r="X594" s="161"/>
      <c r="Y594" s="161"/>
      <c r="Z594" s="161"/>
      <c r="AA594" s="161"/>
      <c r="AB594" s="161"/>
      <c r="AC594" s="161"/>
      <c r="AD594" s="161"/>
      <c r="AE594" s="161"/>
      <c r="AF594" s="161"/>
      <c r="AG594" s="161"/>
      <c r="AH594" s="161"/>
      <c r="AI594" s="161"/>
      <c r="AJ594" s="161"/>
      <c r="AK594" s="161"/>
      <c r="AL594" s="161"/>
      <c r="AM594" s="161"/>
      <c r="AN594" s="161"/>
      <c r="AO594" s="161"/>
      <c r="AP594" s="161"/>
      <c r="AQ594" s="161"/>
      <c r="AR594" s="161"/>
      <c r="AS594" s="161"/>
      <c r="AT594" s="161"/>
      <c r="AU594" s="161"/>
      <c r="AV594" s="161"/>
      <c r="AW594" s="161"/>
      <c r="AX594" s="161"/>
      <c r="AY594" s="161"/>
      <c r="AZ594" s="161"/>
      <c r="BA594" s="161"/>
      <c r="BB594" s="161"/>
      <c r="BC594" s="161"/>
      <c r="BD594" s="161"/>
      <c r="BE594" s="161"/>
      <c r="BF594" s="161"/>
      <c r="BG594" s="161"/>
      <c r="BH594" s="161"/>
      <c r="BI594" s="161"/>
      <c r="BJ594" s="161"/>
      <c r="BK594" s="161"/>
      <c r="BL594" s="161"/>
      <c r="BM594" s="161"/>
      <c r="BN594" s="161"/>
      <c r="BO594" s="161"/>
      <c r="BP594" s="161"/>
      <c r="BQ594" s="161"/>
      <c r="BR594" s="161"/>
      <c r="BS594" s="161"/>
      <c r="BT594" s="161"/>
      <c r="BU594" s="161"/>
      <c r="BV594" s="161"/>
      <c r="BW594" s="161"/>
      <c r="BX594" s="161"/>
      <c r="BY594" s="161"/>
      <c r="BZ594" s="161"/>
      <c r="CA594" s="161"/>
      <c r="CB594" s="161"/>
      <c r="CC594" s="161"/>
      <c r="CD594" s="161"/>
      <c r="CE594" s="161"/>
      <c r="CF594" s="161"/>
      <c r="CG594" s="161"/>
      <c r="CH594" s="161"/>
      <c r="CI594" s="161"/>
      <c r="CJ594" s="161"/>
      <c r="CK594" s="161"/>
      <c r="CL594" s="161"/>
      <c r="CM594" s="161"/>
      <c r="CN594" s="161"/>
      <c r="CO594" s="161"/>
      <c r="CP594" s="161"/>
      <c r="CQ594" s="161"/>
      <c r="CR594" s="161"/>
      <c r="CS594" s="161"/>
      <c r="CT594" s="161"/>
      <c r="CU594" s="161"/>
      <c r="CV594" s="161"/>
      <c r="CW594" s="161"/>
    </row>
    <row r="595" spans="11:101" s="158" customFormat="1" x14ac:dyDescent="0.2">
      <c r="K595" s="161"/>
      <c r="L595" s="161"/>
      <c r="M595" s="161"/>
      <c r="N595" s="161"/>
      <c r="O595" s="161"/>
      <c r="P595" s="161"/>
      <c r="Q595" s="161"/>
      <c r="R595" s="161"/>
      <c r="S595" s="161"/>
      <c r="T595" s="161"/>
      <c r="U595" s="161"/>
      <c r="V595" s="161"/>
      <c r="W595" s="161"/>
      <c r="X595" s="161"/>
      <c r="Y595" s="161"/>
      <c r="Z595" s="161"/>
      <c r="AA595" s="161"/>
      <c r="AB595" s="161"/>
      <c r="AC595" s="161"/>
      <c r="AD595" s="161"/>
      <c r="AE595" s="161"/>
      <c r="AF595" s="161"/>
      <c r="AG595" s="161"/>
      <c r="AH595" s="161"/>
      <c r="AI595" s="161"/>
      <c r="AJ595" s="161"/>
      <c r="AK595" s="161"/>
      <c r="AL595" s="161"/>
      <c r="AM595" s="161"/>
      <c r="AN595" s="161"/>
      <c r="AO595" s="161"/>
      <c r="AP595" s="161"/>
      <c r="AQ595" s="161"/>
      <c r="AR595" s="161"/>
      <c r="AS595" s="161"/>
      <c r="AT595" s="161"/>
      <c r="AU595" s="161"/>
      <c r="AV595" s="161"/>
      <c r="AW595" s="161"/>
      <c r="AX595" s="161"/>
      <c r="AY595" s="161"/>
      <c r="AZ595" s="161"/>
      <c r="BA595" s="161"/>
      <c r="BB595" s="161"/>
      <c r="BC595" s="161"/>
      <c r="BD595" s="161"/>
      <c r="BE595" s="161"/>
      <c r="BF595" s="161"/>
      <c r="BG595" s="161"/>
      <c r="BH595" s="161"/>
      <c r="BI595" s="161"/>
      <c r="BJ595" s="161"/>
      <c r="BK595" s="161"/>
      <c r="BL595" s="161"/>
      <c r="BM595" s="161"/>
      <c r="BN595" s="161"/>
      <c r="BO595" s="161"/>
      <c r="BP595" s="161"/>
      <c r="BQ595" s="161"/>
      <c r="BR595" s="161"/>
      <c r="BS595" s="161"/>
      <c r="BT595" s="161"/>
      <c r="BU595" s="161"/>
      <c r="BV595" s="161"/>
      <c r="BW595" s="161"/>
      <c r="BX595" s="161"/>
      <c r="BY595" s="161"/>
      <c r="BZ595" s="161"/>
      <c r="CA595" s="161"/>
      <c r="CB595" s="161"/>
      <c r="CC595" s="161"/>
      <c r="CD595" s="161"/>
      <c r="CE595" s="161"/>
      <c r="CF595" s="161"/>
      <c r="CG595" s="161"/>
      <c r="CH595" s="161"/>
      <c r="CI595" s="161"/>
      <c r="CJ595" s="161"/>
      <c r="CK595" s="161"/>
      <c r="CL595" s="161"/>
      <c r="CM595" s="161"/>
      <c r="CN595" s="161"/>
      <c r="CO595" s="161"/>
      <c r="CP595" s="161"/>
      <c r="CQ595" s="161"/>
      <c r="CR595" s="161"/>
      <c r="CS595" s="161"/>
      <c r="CT595" s="161"/>
      <c r="CU595" s="161"/>
      <c r="CV595" s="161"/>
      <c r="CW595" s="161"/>
    </row>
  </sheetData>
  <mergeCells count="43">
    <mergeCell ref="F54:I54"/>
    <mergeCell ref="A17:B17"/>
    <mergeCell ref="A18:B18"/>
    <mergeCell ref="A15:B15"/>
    <mergeCell ref="A16:B16"/>
    <mergeCell ref="A1:I1"/>
    <mergeCell ref="H6:I7"/>
    <mergeCell ref="H4:I5"/>
    <mergeCell ref="F6:G7"/>
    <mergeCell ref="A8:B8"/>
    <mergeCell ref="C4:E4"/>
    <mergeCell ref="C5:E5"/>
    <mergeCell ref="C8:E8"/>
    <mergeCell ref="A3:B3"/>
    <mergeCell ref="C3:E3"/>
    <mergeCell ref="C6:E6"/>
    <mergeCell ref="A4:B4"/>
    <mergeCell ref="A5:B5"/>
    <mergeCell ref="A6:B6"/>
    <mergeCell ref="A7:B7"/>
    <mergeCell ref="F4:G5"/>
    <mergeCell ref="M35:O35"/>
    <mergeCell ref="M36:O36"/>
    <mergeCell ref="C14:F14"/>
    <mergeCell ref="F12:G12"/>
    <mergeCell ref="H13:I13"/>
    <mergeCell ref="H12:I12"/>
    <mergeCell ref="F13:G13"/>
    <mergeCell ref="C12:E12"/>
    <mergeCell ref="C13:E13"/>
    <mergeCell ref="C16:E16"/>
    <mergeCell ref="C17:E17"/>
    <mergeCell ref="C18:E18"/>
    <mergeCell ref="G10:I10"/>
    <mergeCell ref="F11:G11"/>
    <mergeCell ref="H11:I11"/>
    <mergeCell ref="C11:E11"/>
    <mergeCell ref="C10:E10"/>
    <mergeCell ref="A12:B12"/>
    <mergeCell ref="A13:B13"/>
    <mergeCell ref="A10:B10"/>
    <mergeCell ref="A11:B11"/>
    <mergeCell ref="C7:E7"/>
  </mergeCells>
  <phoneticPr fontId="2" type="noConversion"/>
  <conditionalFormatting sqref="N38">
    <cfRule type="cellIs" dxfId="8" priority="11" stopIfTrue="1" operator="equal">
      <formula>"PASS"</formula>
    </cfRule>
    <cfRule type="cellIs" dxfId="7" priority="12" stopIfTrue="1" operator="equal">
      <formula>"FAIL"</formula>
    </cfRule>
    <cfRule type="cellIs" dxfId="6" priority="13" stopIfTrue="1" operator="equal">
      <formula>"ERROR"</formula>
    </cfRule>
  </conditionalFormatting>
  <conditionalFormatting sqref="G37 D55 G29 D45:D51 I45:I49">
    <cfRule type="cellIs" dxfId="5" priority="14" stopIfTrue="1" operator="equal">
      <formula>"PASS"</formula>
    </cfRule>
    <cfRule type="cellIs" dxfId="4" priority="15" stopIfTrue="1" operator="equal">
      <formula>"FAIL"</formula>
    </cfRule>
  </conditionalFormatting>
  <conditionalFormatting sqref="H4:I5 C10 G10 H12:H13 C4:C8 H6 F12:F13 C12:C13 C17:C18">
    <cfRule type="cellIs" dxfId="3" priority="16" stopIfTrue="1" operator="equal">
      <formula>0</formula>
    </cfRule>
  </conditionalFormatting>
  <conditionalFormatting sqref="D4:E4">
    <cfRule type="cellIs" dxfId="2" priority="20" stopIfTrue="1" operator="equal">
      <formula>$C$4</formula>
    </cfRule>
  </conditionalFormatting>
  <conditionalFormatting sqref="C3:E3">
    <cfRule type="cellIs" dxfId="1" priority="21" stopIfTrue="1" operator="equal">
      <formula>0</formula>
    </cfRule>
  </conditionalFormatting>
  <conditionalFormatting sqref="C16">
    <cfRule type="cellIs" dxfId="0" priority="5" stopIfTrue="1" operator="equal">
      <formula>0</formula>
    </cfRule>
  </conditionalFormatting>
  <pageMargins left="0.74803149606299213" right="0.47244094488188981" top="0" bottom="0" header="0.51181102362204722" footer="0.51181102362204722"/>
  <pageSetup paperSize="9" scale="92" orientation="portrait" horizontalDpi="4294967293" r:id="rId1"/>
  <headerFooter alignWithMargins="0"/>
  <ignoredErrors>
    <ignoredError sqref="D5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2</xdr:col>
                    <xdr:colOff>476250</xdr:colOff>
                    <xdr:row>19</xdr:row>
                    <xdr:rowOff>133350</xdr:rowOff>
                  </from>
                  <to>
                    <xdr:col>3</xdr:col>
                    <xdr:colOff>114300</xdr:colOff>
                    <xdr:row>21</xdr:row>
                    <xdr:rowOff>28575</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2</xdr:col>
                    <xdr:colOff>476250</xdr:colOff>
                    <xdr:row>20</xdr:row>
                    <xdr:rowOff>133350</xdr:rowOff>
                  </from>
                  <to>
                    <xdr:col>3</xdr:col>
                    <xdr:colOff>114300</xdr:colOff>
                    <xdr:row>22</xdr:row>
                    <xdr:rowOff>28575</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2</xdr:col>
                    <xdr:colOff>476250</xdr:colOff>
                    <xdr:row>21</xdr:row>
                    <xdr:rowOff>133350</xdr:rowOff>
                  </from>
                  <to>
                    <xdr:col>3</xdr:col>
                    <xdr:colOff>114300</xdr:colOff>
                    <xdr:row>23</xdr:row>
                    <xdr:rowOff>28575</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2</xdr:col>
                    <xdr:colOff>476250</xdr:colOff>
                    <xdr:row>22</xdr:row>
                    <xdr:rowOff>133350</xdr:rowOff>
                  </from>
                  <to>
                    <xdr:col>3</xdr:col>
                    <xdr:colOff>114300</xdr:colOff>
                    <xdr:row>24</xdr:row>
                    <xdr:rowOff>28575</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2</xdr:col>
                    <xdr:colOff>476250</xdr:colOff>
                    <xdr:row>23</xdr:row>
                    <xdr:rowOff>123825</xdr:rowOff>
                  </from>
                  <to>
                    <xdr:col>3</xdr:col>
                    <xdr:colOff>114300</xdr:colOff>
                    <xdr:row>25</xdr:row>
                    <xdr:rowOff>19050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5</xdr:col>
                    <xdr:colOff>476250</xdr:colOff>
                    <xdr:row>19</xdr:row>
                    <xdr:rowOff>133350</xdr:rowOff>
                  </from>
                  <to>
                    <xdr:col>6</xdr:col>
                    <xdr:colOff>47625</xdr:colOff>
                    <xdr:row>21</xdr:row>
                    <xdr:rowOff>28575</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5</xdr:col>
                    <xdr:colOff>476250</xdr:colOff>
                    <xdr:row>20</xdr:row>
                    <xdr:rowOff>133350</xdr:rowOff>
                  </from>
                  <to>
                    <xdr:col>6</xdr:col>
                    <xdr:colOff>47625</xdr:colOff>
                    <xdr:row>22</xdr:row>
                    <xdr:rowOff>28575</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5</xdr:col>
                    <xdr:colOff>476250</xdr:colOff>
                    <xdr:row>21</xdr:row>
                    <xdr:rowOff>133350</xdr:rowOff>
                  </from>
                  <to>
                    <xdr:col>6</xdr:col>
                    <xdr:colOff>47625</xdr:colOff>
                    <xdr:row>23</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Data</vt:lpstr>
      <vt:lpstr>Report</vt:lpstr>
      <vt:lpstr>Report!Print_Area</vt:lpstr>
      <vt:lpstr>Technique_kVp</vt:lpstr>
    </vt:vector>
  </TitlesOfParts>
  <Company>Unfors RaySafe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RaySafe Dental measurement template</dc:title>
  <dc:creator>Edward A. Brand</dc:creator>
  <dc:description>For use with RaySafe Xi/Solo and Xi View or RaySafe X2 and X2 View</dc:description>
  <cp:lastModifiedBy>Magnus Smith</cp:lastModifiedBy>
  <cp:lastPrinted>2013-11-27T09:10:16Z</cp:lastPrinted>
  <dcterms:created xsi:type="dcterms:W3CDTF">2004-04-20T15:01:35Z</dcterms:created>
  <dcterms:modified xsi:type="dcterms:W3CDTF">2013-11-28T13:55:12Z</dcterms:modified>
</cp:coreProperties>
</file>